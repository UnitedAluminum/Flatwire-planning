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U:\UA Documents\Flat Wire\"/>
    </mc:Choice>
  </mc:AlternateContent>
  <xr:revisionPtr revIDLastSave="0" documentId="13_ncr:1_{D6C8BB11-E10C-4FE8-914C-9885F62AAAAA}" xr6:coauthVersionLast="47" xr6:coauthVersionMax="47" xr10:uidLastSave="{00000000-0000-0000-0000-000000000000}"/>
  <bookViews>
    <workbookView xWindow="-110" yWindow="-110" windowWidth="19420" windowHeight="11020" xr2:uid="{698CE1DB-1019-41D2-9161-91E7319E1330}"/>
  </bookViews>
  <sheets>
    <sheet name="Tracker" sheetId="3" r:id="rId1"/>
    <sheet name="Pass_Schd" sheetId="10" state="hidden" r:id="rId2"/>
    <sheet name="Induction_Wld" sheetId="9" state="hidden" r:id="rId3"/>
    <sheet name="Scheduling" sheetId="8" state="hidden" r:id="rId4"/>
    <sheet name="Machine Template" sheetId="7" state="hidden" r:id="rId5"/>
  </sheets>
  <definedNames>
    <definedName name="_xlnm._FilterDatabase" localSheetId="0" hidden="1">Tracker!$A$2:$M$30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9" l="1"/>
  <c r="G5" i="9"/>
  <c r="E6" i="9"/>
  <c r="G6" i="9"/>
  <c r="E7" i="9"/>
  <c r="G7" i="9"/>
</calcChain>
</file>

<file path=xl/sharedStrings.xml><?xml version="1.0" encoding="utf-8"?>
<sst xmlns="http://schemas.openxmlformats.org/spreadsheetml/2006/main" count="223" uniqueCount="143">
  <si>
    <t>Quotes</t>
  </si>
  <si>
    <t>Orders</t>
  </si>
  <si>
    <t>Storage area to be identified for rods in form of skids</t>
  </si>
  <si>
    <t>Anneal - rod/wire (3D/2D)</t>
  </si>
  <si>
    <t xml:space="preserve">MPS </t>
  </si>
  <si>
    <t xml:space="preserve">Pass Schedule </t>
  </si>
  <si>
    <t xml:space="preserve">Planning Application / Algo </t>
  </si>
  <si>
    <t xml:space="preserve">Scheduling Application / Algo </t>
  </si>
  <si>
    <t xml:space="preserve">Pack Specs </t>
  </si>
  <si>
    <t>Labels include footage</t>
  </si>
  <si>
    <t xml:space="preserve">DEEP </t>
  </si>
  <si>
    <t>Application</t>
  </si>
  <si>
    <t>Stakeholders</t>
  </si>
  <si>
    <t>TBD</t>
  </si>
  <si>
    <t>UA Icon</t>
  </si>
  <si>
    <t>Application Type</t>
  </si>
  <si>
    <t>EDI</t>
  </si>
  <si>
    <t>Coil Receiving</t>
  </si>
  <si>
    <t>Machines</t>
  </si>
  <si>
    <t>Web</t>
  </si>
  <si>
    <t>Shopfloor</t>
  </si>
  <si>
    <t>Data Collection</t>
  </si>
  <si>
    <t>Coil Yield / Cost Ledger</t>
  </si>
  <si>
    <t>Wip Rejection</t>
  </si>
  <si>
    <t>Comments</t>
  </si>
  <si>
    <t>Add a flag to indicate the source - coil vs rod.</t>
  </si>
  <si>
    <t>Add ability to procure 3D specs (gauge x diameter x length/weight).</t>
  </si>
  <si>
    <t>Eventually add ability to get EDI from the vendors (current and new).</t>
  </si>
  <si>
    <t>Ability to receive rod, with or without EDI.</t>
  </si>
  <si>
    <t>Add new machine capabilities.</t>
  </si>
  <si>
    <t>Alloys</t>
  </si>
  <si>
    <t>Uniquely define a vendor (Vendor + Location + Material Type (Reroll / B2B / Rod)), testing specs and reduction percentages.</t>
  </si>
  <si>
    <t>Changes to Tow Motors to store the material?</t>
  </si>
  <si>
    <t>Is a pass schedule even required or is it always in one pass?</t>
  </si>
  <si>
    <t>IQR</t>
  </si>
  <si>
    <t>Item</t>
  </si>
  <si>
    <t>Add a flag to indicate the source - coil vs rod, define item with one or more stages and possibly upfront anneal.</t>
  </si>
  <si>
    <t>Ability to plan orders with rod.</t>
  </si>
  <si>
    <t>Ability to schedule orders with rod at the new machine (manual and algo).</t>
  </si>
  <si>
    <t>Rules for loading on to plates, stacking rules, separators, etc. Scheduling algo also might need these.</t>
  </si>
  <si>
    <t xml:space="preserve">Flat Wire Machine (New Interface) </t>
  </si>
  <si>
    <t>New screen(s) to perform the flat wire transaction. Capture Gauge Trace, Width Trace, welded material for traceability.</t>
  </si>
  <si>
    <t xml:space="preserve">Packing </t>
  </si>
  <si>
    <t>Most likely no Inspection Bench changes. Packing only, pack specs, weight capture, etc.</t>
  </si>
  <si>
    <t>Packing specs for eye to side or eye to sky to be used at new machine and also at packing line.</t>
  </si>
  <si>
    <t>Certs</t>
  </si>
  <si>
    <t>Unlikely impact on Certs.</t>
  </si>
  <si>
    <t>Stephen</t>
  </si>
  <si>
    <t>Laureen, Chuck</t>
  </si>
  <si>
    <t>Sales – start with Laura G. and Ron F.</t>
  </si>
  <si>
    <t>STR, RS, BillP, MF</t>
  </si>
  <si>
    <t>Mick, Ryan B., Fabian, STR</t>
  </si>
  <si>
    <t>Dan F.</t>
  </si>
  <si>
    <t>TO, RS, STR</t>
  </si>
  <si>
    <t xml:space="preserve">Sales, TO, RS, STR </t>
  </si>
  <si>
    <t>Mick, Fabian, Ryan B.</t>
  </si>
  <si>
    <t>RS, SP, Darlene?</t>
  </si>
  <si>
    <t>TO, RS, STR, Bill P.</t>
  </si>
  <si>
    <t>Jeff G., Ken G.</t>
  </si>
  <si>
    <t>STR, RS</t>
  </si>
  <si>
    <t>Meeting Date</t>
  </si>
  <si>
    <t>Mockups Created</t>
  </si>
  <si>
    <t>Reviewed w/ DEV</t>
  </si>
  <si>
    <t>Demoed</t>
  </si>
  <si>
    <t>Deployed</t>
  </si>
  <si>
    <t>Tim's Comments</t>
  </si>
  <si>
    <t xml:space="preserve">Vendor complaints </t>
  </si>
  <si>
    <t>Scrap &amp; Sales</t>
  </si>
  <si>
    <t>Reporting Icon/Ship .Net</t>
  </si>
  <si>
    <t>Can that be tolled through the supplier as we do with sheet.</t>
  </si>
  <si>
    <t>??</t>
  </si>
  <si>
    <t xml:space="preserve">Is the pricing the same as sheet coil purchasing as we currently see? Need specifications sheet for wire rod purchasing? </t>
  </si>
  <si>
    <t>Ryan D./Chuck</t>
  </si>
  <si>
    <t>Laureen, Chuck, Danny J, STR</t>
  </si>
  <si>
    <t>Start up 7/1/26</t>
  </si>
  <si>
    <t>Production 8/1/26</t>
  </si>
  <si>
    <t>TO, RS, STR, JG, KG</t>
  </si>
  <si>
    <t>Laureen, Chuck, Sal, Joe</t>
  </si>
  <si>
    <t>Due Date</t>
  </si>
  <si>
    <t>Laureen, Chuck, Sales</t>
  </si>
  <si>
    <t>EDI (electronic data interface)</t>
  </si>
  <si>
    <t>Sales, Technical, STR, RS, Mic, Ron, LG</t>
  </si>
  <si>
    <t>In Process</t>
  </si>
  <si>
    <t>Pat, TO, Ralph</t>
  </si>
  <si>
    <t>Anneal</t>
  </si>
  <si>
    <t>Edge Setup</t>
  </si>
  <si>
    <t>12" Mill</t>
  </si>
  <si>
    <t>Stand 1</t>
  </si>
  <si>
    <t>Stand 2</t>
  </si>
  <si>
    <t>Stand 3</t>
  </si>
  <si>
    <t>FL2</t>
  </si>
  <si>
    <t>FL1</t>
  </si>
  <si>
    <t>DB1</t>
  </si>
  <si>
    <t>DB2</t>
  </si>
  <si>
    <t>VPS</t>
  </si>
  <si>
    <t>Furnace</t>
  </si>
  <si>
    <t>Input Dia.</t>
  </si>
  <si>
    <t>Output Dia.</t>
  </si>
  <si>
    <t>Output Dia</t>
  </si>
  <si>
    <t>Outpt Gauge</t>
  </si>
  <si>
    <t>Output Width</t>
  </si>
  <si>
    <t>Edger</t>
  </si>
  <si>
    <t>Output Gauge</t>
  </si>
  <si>
    <t>Roll Gap</t>
  </si>
  <si>
    <t>TO, RN</t>
  </si>
  <si>
    <t xml:space="preserve">Possibly new labels? </t>
  </si>
  <si>
    <t>TBD - working with Naj &amp; Bob on layout &amp; flow</t>
  </si>
  <si>
    <t>TBD - depends on solution used in drawing and mill lubricating processes</t>
  </si>
  <si>
    <t>What are we doping with our tolling labels?</t>
  </si>
  <si>
    <t xml:space="preserve">Working on a pass schedule system layout. </t>
  </si>
  <si>
    <t>Die Diameter</t>
  </si>
  <si>
    <t xml:space="preserve">Add both traversing takeups and payoff. </t>
  </si>
  <si>
    <t xml:space="preserve">Are the dnacers and entry guides a constraint or are the optional component dependent upon process. This would determine if they are included in the pass schedule. </t>
  </si>
  <si>
    <t>Should include tol for gauge and width for each component</t>
  </si>
  <si>
    <t>Takeup</t>
  </si>
  <si>
    <t>Payoff</t>
  </si>
  <si>
    <t>Vendor Maintenance</t>
  </si>
  <si>
    <t>Met with Srikanth</t>
  </si>
  <si>
    <t>Waiting on technical to provide a spreadsheet                 03/24/26 2nd meeting scheduled with SP &amp; TO</t>
  </si>
  <si>
    <t>Waiting on technical to provide a spreadsheet                03/24/26 2nd meeting scheduled with SP &amp; TO</t>
  </si>
  <si>
    <t>03/24/26 2nd meeting scheduled with SP &amp; TO</t>
  </si>
  <si>
    <t>03/26/2026 SP to scheudle followup meeting</t>
  </si>
  <si>
    <t>UA Icon/Web</t>
  </si>
  <si>
    <t>Iem Template - SMP Creation</t>
  </si>
  <si>
    <t>Mic, Ryan, Fabian, Sri, TIm</t>
  </si>
  <si>
    <t>Feet</t>
  </si>
  <si>
    <t>Min</t>
  </si>
  <si>
    <t>fps</t>
  </si>
  <si>
    <t>DwellT</t>
  </si>
  <si>
    <t>Margo/Gavin/Brian R</t>
  </si>
  <si>
    <t>(Sal, Henry), SP, JG,JS, TO,RS, SR</t>
  </si>
  <si>
    <t>Shopfloor/Web</t>
  </si>
  <si>
    <t>Critical?</t>
  </si>
  <si>
    <t>Low</t>
  </si>
  <si>
    <t>N/A</t>
  </si>
  <si>
    <t>???</t>
  </si>
  <si>
    <r>
      <t>Reports (</t>
    </r>
    <r>
      <rPr>
        <sz val="11"/>
        <color rgb="FFFF0000"/>
        <rFont val="Aptos Narrow"/>
        <family val="2"/>
        <scheme val="minor"/>
      </rPr>
      <t xml:space="preserve">Throughput, </t>
    </r>
    <r>
      <rPr>
        <sz val="11"/>
        <color theme="1"/>
        <rFont val="Aptos Narrow"/>
        <family val="2"/>
        <scheme val="minor"/>
      </rPr>
      <t>Gauge Trace, Width Trace, SPC, Camber)</t>
    </r>
  </si>
  <si>
    <t>Medium</t>
  </si>
  <si>
    <t>Pre-Trial</t>
  </si>
  <si>
    <t>Pre-Trial (screen 
could be low priority)</t>
  </si>
  <si>
    <t>Production</t>
  </si>
  <si>
    <t>Pre-Trial
(screen 
could be low priority)</t>
  </si>
  <si>
    <t>Production (screen 
could be low priority)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</si>
</sst>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EE0000"/>
      <name val="Aptos Narrow"/>
      <family val="2"/>
    </font>
    <font>
      <b/>
      <sz val="11"/>
      <name val="Aptos Narrow"/>
      <family val="2"/>
      <scheme val="minor"/>
    </font>
    <font>
      <sz val="11"/>
      <name val="Aptos Narrow"/>
      <family val="2"/>
    </font>
    <font>
      <sz val="1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2" fillId="0" borderId="2" xfId="0" applyFont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 wrapText="1"/>
    </xf>
    <xf numFmtId="0" fontId="2" fillId="0" borderId="1" xfId="0" applyFont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14" fontId="4" fillId="0" borderId="2" xfId="0" applyNumberFormat="1" applyFont="1" applyBorder="1" applyAlignment="1">
      <alignment vertical="center"/>
    </xf>
    <xf numFmtId="14" fontId="4" fillId="0" borderId="1" xfId="0" applyNumberFormat="1" applyFont="1" applyBorder="1" applyAlignment="1">
      <alignment vertical="center"/>
    </xf>
    <xf numFmtId="14" fontId="5" fillId="0" borderId="0" xfId="0" applyNumberFormat="1" applyFont="1" applyAlignment="1">
      <alignment vertical="center"/>
    </xf>
    <xf numFmtId="0" fontId="0" fillId="0" borderId="1" xfId="0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14" fontId="3" fillId="2" borderId="3" xfId="0" applyNumberFormat="1" applyFont="1" applyFill="1" applyBorder="1" applyAlignment="1">
      <alignment horizontal="center" vertical="center" wrapText="1"/>
    </xf>
    <xf numFmtId="0" fontId="0" fillId="0" borderId="9" xfId="0" applyBorder="1"/>
    <xf numFmtId="0" fontId="0" fillId="0" borderId="12" xfId="0" applyBorder="1"/>
    <xf numFmtId="0" fontId="0" fillId="0" borderId="10" xfId="0" applyBorder="1"/>
    <xf numFmtId="0" fontId="0" fillId="0" borderId="16" xfId="0" applyBorder="1"/>
    <xf numFmtId="0" fontId="1" fillId="0" borderId="0" xfId="0" applyFont="1"/>
    <xf numFmtId="0" fontId="0" fillId="0" borderId="17" xfId="0" applyBorder="1" applyAlignment="1">
      <alignment horizontal="center" vertical="center"/>
    </xf>
    <xf numFmtId="0" fontId="6" fillId="5" borderId="5" xfId="0" applyFont="1" applyFill="1" applyBorder="1" applyAlignment="1">
      <alignment horizontal="center"/>
    </xf>
    <xf numFmtId="0" fontId="6" fillId="0" borderId="0" xfId="0" applyFont="1"/>
    <xf numFmtId="0" fontId="1" fillId="7" borderId="9" xfId="0" applyFont="1" applyFill="1" applyBorder="1"/>
    <xf numFmtId="0" fontId="1" fillId="3" borderId="10" xfId="0" applyFont="1" applyFill="1" applyBorder="1"/>
    <xf numFmtId="0" fontId="1" fillId="8" borderId="10" xfId="0" applyFont="1" applyFill="1" applyBorder="1"/>
    <xf numFmtId="0" fontId="1" fillId="11" borderId="10" xfId="0" applyFont="1" applyFill="1" applyBorder="1" applyAlignment="1">
      <alignment horizontal="center"/>
    </xf>
    <xf numFmtId="0" fontId="1" fillId="13" borderId="12" xfId="0" applyFont="1" applyFill="1" applyBorder="1" applyAlignment="1">
      <alignment horizontal="center"/>
    </xf>
    <xf numFmtId="0" fontId="1" fillId="0" borderId="18" xfId="0" applyFont="1" applyBorder="1"/>
    <xf numFmtId="0" fontId="1" fillId="0" borderId="4" xfId="0" applyFont="1" applyBorder="1"/>
    <xf numFmtId="0" fontId="1" fillId="0" borderId="13" xfId="0" applyFont="1" applyBorder="1"/>
    <xf numFmtId="0" fontId="1" fillId="0" borderId="19" xfId="0" applyFont="1" applyBorder="1"/>
    <xf numFmtId="0" fontId="0" fillId="0" borderId="2" xfId="0" applyBorder="1" applyAlignment="1">
      <alignment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0" fillId="0" borderId="17" xfId="0" applyBorder="1"/>
    <xf numFmtId="0" fontId="6" fillId="4" borderId="7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1" fillId="0" borderId="29" xfId="0" applyFont="1" applyBorder="1"/>
    <xf numFmtId="0" fontId="1" fillId="2" borderId="9" xfId="0" applyFont="1" applyFill="1" applyBorder="1" applyAlignment="1">
      <alignment horizontal="center"/>
    </xf>
    <xf numFmtId="0" fontId="6" fillId="6" borderId="0" xfId="0" applyFont="1" applyFill="1" applyAlignment="1">
      <alignment horizontal="center"/>
    </xf>
    <xf numFmtId="0" fontId="1" fillId="13" borderId="0" xfId="0" applyFont="1" applyFill="1" applyAlignment="1">
      <alignment horizontal="center"/>
    </xf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30" xfId="0" applyBorder="1"/>
    <xf numFmtId="0" fontId="0" fillId="0" borderId="31" xfId="0" applyBorder="1"/>
    <xf numFmtId="0" fontId="0" fillId="0" borderId="26" xfId="0" applyBorder="1"/>
    <xf numFmtId="0" fontId="0" fillId="0" borderId="27" xfId="0" applyBorder="1"/>
    <xf numFmtId="0" fontId="5" fillId="0" borderId="0" xfId="0" applyFont="1" applyAlignment="1">
      <alignment vertical="center"/>
    </xf>
    <xf numFmtId="0" fontId="3" fillId="2" borderId="3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2" fillId="14" borderId="1" xfId="0" applyFont="1" applyFill="1" applyBorder="1" applyAlignment="1">
      <alignment vertical="center"/>
    </xf>
    <xf numFmtId="14" fontId="4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15" borderId="1" xfId="0" applyFill="1" applyBorder="1" applyAlignment="1">
      <alignment vertical="center" wrapText="1"/>
    </xf>
    <xf numFmtId="0" fontId="0" fillId="15" borderId="1" xfId="0" applyFill="1" applyBorder="1" applyAlignment="1">
      <alignment horizontal="center" vertical="center" wrapText="1"/>
    </xf>
    <xf numFmtId="0" fontId="0" fillId="16" borderId="1" xfId="0" applyFill="1" applyBorder="1" applyAlignment="1">
      <alignment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6" fillId="5" borderId="5" xfId="0" applyFont="1" applyFill="1" applyBorder="1" applyAlignment="1">
      <alignment horizontal="center"/>
    </xf>
    <xf numFmtId="0" fontId="6" fillId="5" borderId="6" xfId="0" applyFont="1" applyFill="1" applyBorder="1" applyAlignment="1">
      <alignment horizontal="center"/>
    </xf>
    <xf numFmtId="0" fontId="6" fillId="5" borderId="7" xfId="0" applyFont="1" applyFill="1" applyBorder="1" applyAlignment="1">
      <alignment horizontal="center"/>
    </xf>
    <xf numFmtId="0" fontId="6" fillId="4" borderId="15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6" fillId="4" borderId="14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/>
    </xf>
    <xf numFmtId="0" fontId="6" fillId="4" borderId="16" xfId="0" applyFont="1" applyFill="1" applyBorder="1" applyAlignment="1">
      <alignment horizontal="center" vertical="center"/>
    </xf>
    <xf numFmtId="0" fontId="6" fillId="6" borderId="22" xfId="0" applyFont="1" applyFill="1" applyBorder="1" applyAlignment="1">
      <alignment horizontal="center"/>
    </xf>
    <xf numFmtId="0" fontId="6" fillId="6" borderId="20" xfId="0" applyFont="1" applyFill="1" applyBorder="1" applyAlignment="1">
      <alignment horizontal="center"/>
    </xf>
    <xf numFmtId="0" fontId="6" fillId="6" borderId="21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10" borderId="9" xfId="0" applyFont="1" applyFill="1" applyBorder="1" applyAlignment="1">
      <alignment horizontal="center"/>
    </xf>
    <xf numFmtId="0" fontId="1" fillId="10" borderId="10" xfId="0" applyFont="1" applyFill="1" applyBorder="1" applyAlignment="1">
      <alignment horizontal="center"/>
    </xf>
    <xf numFmtId="0" fontId="1" fillId="9" borderId="10" xfId="0" applyFont="1" applyFill="1" applyBorder="1" applyAlignment="1">
      <alignment horizontal="center"/>
    </xf>
    <xf numFmtId="0" fontId="1" fillId="12" borderId="10" xfId="0" applyFont="1" applyFill="1" applyBorder="1" applyAlignment="1">
      <alignment horizontal="center"/>
    </xf>
    <xf numFmtId="0" fontId="1" fillId="11" borderId="10" xfId="0" applyFont="1" applyFill="1" applyBorder="1" applyAlignment="1">
      <alignment horizontal="center"/>
    </xf>
  </cellXfs>
  <cellStyles count="1">
    <cellStyle name="Normal" xfId="0" builtinId="0"/>
  </cellStyles>
  <dxfs count="6">
    <dxf>
      <font>
        <color theme="1"/>
      </font>
    </dxf>
    <dxf>
      <fill>
        <patternFill>
          <bgColor rgb="FF92D050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</dxfs>
  <tableStyles count="1" defaultTableStyle="TableStyleMedium2" defaultPivotStyle="PivotStyleLight16">
    <tableStyle name="Invisible" pivot="0" table="0" count="0" xr9:uid="{535C0C62-10DE-48FA-B402-96CFC5BF63A3}"/>
  </tableStyles>
  <colors>
    <mruColors>
      <color rgb="FFDCDBB7"/>
      <color rgb="FFFF9999"/>
      <color rgb="FFFF7C80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22/11/relationships/FeaturePropertyBag" Target="featurePropertyBag/featurePropertyBag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tmp"/><Relationship Id="rId13" Type="http://schemas.openxmlformats.org/officeDocument/2006/relationships/image" Target="../media/image16.tmp"/><Relationship Id="rId18" Type="http://schemas.openxmlformats.org/officeDocument/2006/relationships/image" Target="../media/image21.tmp"/><Relationship Id="rId3" Type="http://schemas.openxmlformats.org/officeDocument/2006/relationships/image" Target="../media/image6.tmp"/><Relationship Id="rId21" Type="http://schemas.openxmlformats.org/officeDocument/2006/relationships/image" Target="../media/image24.tmp"/><Relationship Id="rId7" Type="http://schemas.openxmlformats.org/officeDocument/2006/relationships/image" Target="../media/image10.tmp"/><Relationship Id="rId12" Type="http://schemas.openxmlformats.org/officeDocument/2006/relationships/image" Target="../media/image15.tmp"/><Relationship Id="rId17" Type="http://schemas.openxmlformats.org/officeDocument/2006/relationships/image" Target="../media/image20.tmp"/><Relationship Id="rId2" Type="http://schemas.openxmlformats.org/officeDocument/2006/relationships/image" Target="../media/image5.tmp"/><Relationship Id="rId16" Type="http://schemas.openxmlformats.org/officeDocument/2006/relationships/image" Target="../media/image19.tmp"/><Relationship Id="rId20" Type="http://schemas.openxmlformats.org/officeDocument/2006/relationships/image" Target="../media/image23.tmp"/><Relationship Id="rId1" Type="http://schemas.openxmlformats.org/officeDocument/2006/relationships/image" Target="../media/image4.tmp"/><Relationship Id="rId6" Type="http://schemas.openxmlformats.org/officeDocument/2006/relationships/image" Target="../media/image9.tmp"/><Relationship Id="rId11" Type="http://schemas.openxmlformats.org/officeDocument/2006/relationships/image" Target="../media/image14.tmp"/><Relationship Id="rId5" Type="http://schemas.openxmlformats.org/officeDocument/2006/relationships/image" Target="../media/image8.tmp"/><Relationship Id="rId15" Type="http://schemas.openxmlformats.org/officeDocument/2006/relationships/image" Target="../media/image18.tmp"/><Relationship Id="rId10" Type="http://schemas.openxmlformats.org/officeDocument/2006/relationships/image" Target="../media/image13.tmp"/><Relationship Id="rId19" Type="http://schemas.openxmlformats.org/officeDocument/2006/relationships/image" Target="../media/image22.tmp"/><Relationship Id="rId4" Type="http://schemas.openxmlformats.org/officeDocument/2006/relationships/image" Target="../media/image7.tmp"/><Relationship Id="rId9" Type="http://schemas.openxmlformats.org/officeDocument/2006/relationships/image" Target="../media/image12.tmp"/><Relationship Id="rId14" Type="http://schemas.openxmlformats.org/officeDocument/2006/relationships/image" Target="../media/image17.tmp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6569</xdr:rowOff>
    </xdr:from>
    <xdr:ext cx="5955424" cy="2150110"/>
    <xdr:pic>
      <xdr:nvPicPr>
        <xdr:cNvPr id="2" name="Picture 1">
          <a:extLst>
            <a:ext uri="{FF2B5EF4-FFF2-40B4-BE49-F238E27FC236}">
              <a16:creationId xmlns:a16="http://schemas.microsoft.com/office/drawing/2014/main" id="{AF6A616E-052E-4A63-93FE-E8FCBD13A4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569"/>
          <a:ext cx="5955424" cy="215011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</xdr:row>
      <xdr:rowOff>0</xdr:rowOff>
    </xdr:from>
    <xdr:ext cx="5943600" cy="2924175"/>
    <xdr:pic>
      <xdr:nvPicPr>
        <xdr:cNvPr id="3" name="Picture 2">
          <a:extLst>
            <a:ext uri="{FF2B5EF4-FFF2-40B4-BE49-F238E27FC236}">
              <a16:creationId xmlns:a16="http://schemas.microsoft.com/office/drawing/2014/main" id="{1D620C81-2D98-42DA-8480-668F873D92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67000"/>
          <a:ext cx="5943600" cy="2924175"/>
        </a:xfrm>
        <a:prstGeom prst="rect">
          <a:avLst/>
        </a:prstGeom>
      </xdr:spPr>
    </xdr:pic>
    <xdr:clientData/>
  </xdr:oneCellAnchor>
  <xdr:oneCellAnchor>
    <xdr:from>
      <xdr:col>5</xdr:col>
      <xdr:colOff>413845</xdr:colOff>
      <xdr:row>25</xdr:row>
      <xdr:rowOff>163841</xdr:rowOff>
    </xdr:from>
    <xdr:ext cx="2388716" cy="604728"/>
    <xdr:pic>
      <xdr:nvPicPr>
        <xdr:cNvPr id="4" name="Picture 3">
          <a:extLst>
            <a:ext uri="{FF2B5EF4-FFF2-40B4-BE49-F238E27FC236}">
              <a16:creationId xmlns:a16="http://schemas.microsoft.com/office/drawing/2014/main" id="{79A65A07-E4B4-4337-A334-81BCBA09C4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61845" y="4926341"/>
          <a:ext cx="2388716" cy="6047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19</xdr:col>
      <xdr:colOff>201584</xdr:colOff>
      <xdr:row>34</xdr:row>
      <xdr:rowOff>38903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6E3701D2-CFE3-EEF9-2457-E9804EFCDE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762000"/>
          <a:ext cx="11174384" cy="5753903"/>
        </a:xfrm>
        <a:prstGeom prst="rect">
          <a:avLst/>
        </a:prstGeom>
      </xdr:spPr>
    </xdr:pic>
    <xdr:clientData/>
  </xdr:twoCellAnchor>
  <xdr:twoCellAnchor editAs="oneCell">
    <xdr:from>
      <xdr:col>4</xdr:col>
      <xdr:colOff>104775</xdr:colOff>
      <xdr:row>3</xdr:row>
      <xdr:rowOff>180975</xdr:rowOff>
    </xdr:from>
    <xdr:to>
      <xdr:col>14</xdr:col>
      <xdr:colOff>543837</xdr:colOff>
      <xdr:row>5</xdr:row>
      <xdr:rowOff>19081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676B48B-AA52-8A86-E4C8-0BC35D3E1C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4075" y="752475"/>
          <a:ext cx="6535062" cy="219106"/>
        </a:xfrm>
        <a:prstGeom prst="rect">
          <a:avLst/>
        </a:prstGeom>
      </xdr:spPr>
    </xdr:pic>
    <xdr:clientData/>
  </xdr:twoCellAnchor>
  <xdr:twoCellAnchor editAs="oneCell">
    <xdr:from>
      <xdr:col>0</xdr:col>
      <xdr:colOff>180975</xdr:colOff>
      <xdr:row>3</xdr:row>
      <xdr:rowOff>152400</xdr:rowOff>
    </xdr:from>
    <xdr:to>
      <xdr:col>2</xdr:col>
      <xdr:colOff>457350</xdr:colOff>
      <xdr:row>5</xdr:row>
      <xdr:rowOff>47664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F902A835-9A9E-ADE0-5B0B-B2A14E283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723900"/>
          <a:ext cx="1076475" cy="276264"/>
        </a:xfrm>
        <a:prstGeom prst="rect">
          <a:avLst/>
        </a:prstGeom>
      </xdr:spPr>
    </xdr:pic>
    <xdr:clientData/>
  </xdr:twoCellAnchor>
  <xdr:twoCellAnchor editAs="oneCell">
    <xdr:from>
      <xdr:col>2</xdr:col>
      <xdr:colOff>428625</xdr:colOff>
      <xdr:row>4</xdr:row>
      <xdr:rowOff>9525</xdr:rowOff>
    </xdr:from>
    <xdr:to>
      <xdr:col>4</xdr:col>
      <xdr:colOff>133479</xdr:colOff>
      <xdr:row>5</xdr:row>
      <xdr:rowOff>38131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D15821A5-9B99-2BFE-4D79-287CE5E69B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8725" y="771525"/>
          <a:ext cx="924054" cy="219106"/>
        </a:xfrm>
        <a:prstGeom prst="rect">
          <a:avLst/>
        </a:prstGeom>
      </xdr:spPr>
    </xdr:pic>
    <xdr:clientData/>
  </xdr:twoCellAnchor>
  <xdr:twoCellAnchor editAs="oneCell">
    <xdr:from>
      <xdr:col>14</xdr:col>
      <xdr:colOff>533400</xdr:colOff>
      <xdr:row>4</xdr:row>
      <xdr:rowOff>19050</xdr:rowOff>
    </xdr:from>
    <xdr:to>
      <xdr:col>20</xdr:col>
      <xdr:colOff>343384</xdr:colOff>
      <xdr:row>5</xdr:row>
      <xdr:rowOff>47656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6BCE6D24-F3EE-260E-14B1-1B1911E35E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48700" y="781050"/>
          <a:ext cx="3467584" cy="219106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34</xdr:row>
      <xdr:rowOff>19050</xdr:rowOff>
    </xdr:from>
    <xdr:to>
      <xdr:col>5</xdr:col>
      <xdr:colOff>248016</xdr:colOff>
      <xdr:row>60</xdr:row>
      <xdr:rowOff>143584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9F9173EA-9824-EA0C-25A8-2527B7B04B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6496050"/>
          <a:ext cx="2619741" cy="507753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64</xdr:row>
      <xdr:rowOff>0</xdr:rowOff>
    </xdr:from>
    <xdr:to>
      <xdr:col>16</xdr:col>
      <xdr:colOff>277540</xdr:colOff>
      <xdr:row>90</xdr:row>
      <xdr:rowOff>105481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57CBF1DE-6737-3A04-15E3-79FB5C2FCE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2192000"/>
          <a:ext cx="9421540" cy="505848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92</xdr:row>
      <xdr:rowOff>0</xdr:rowOff>
    </xdr:from>
    <xdr:to>
      <xdr:col>19</xdr:col>
      <xdr:colOff>201584</xdr:colOff>
      <xdr:row>104</xdr:row>
      <xdr:rowOff>57477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888ADCAF-3EA9-DE10-D27E-5ED763689B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7526000"/>
          <a:ext cx="11174384" cy="234347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106</xdr:row>
      <xdr:rowOff>0</xdr:rowOff>
    </xdr:from>
    <xdr:to>
      <xdr:col>19</xdr:col>
      <xdr:colOff>315900</xdr:colOff>
      <xdr:row>132</xdr:row>
      <xdr:rowOff>172165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6247EFD0-153A-2A52-9023-842452AFA4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20193000"/>
          <a:ext cx="11288700" cy="5125165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106</xdr:row>
      <xdr:rowOff>0</xdr:rowOff>
    </xdr:from>
    <xdr:to>
      <xdr:col>38</xdr:col>
      <xdr:colOff>344479</xdr:colOff>
      <xdr:row>139</xdr:row>
      <xdr:rowOff>162825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C713A529-6435-C61E-ECE2-BEFDDF5C06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72900" y="20193000"/>
          <a:ext cx="11317279" cy="64493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137</xdr:row>
      <xdr:rowOff>0</xdr:rowOff>
    </xdr:from>
    <xdr:to>
      <xdr:col>19</xdr:col>
      <xdr:colOff>153953</xdr:colOff>
      <xdr:row>149</xdr:row>
      <xdr:rowOff>95582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3D01C0A2-4FA9-215F-BACF-FEA83038A6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26098500"/>
          <a:ext cx="11126753" cy="238158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153</xdr:row>
      <xdr:rowOff>0</xdr:rowOff>
    </xdr:from>
    <xdr:to>
      <xdr:col>19</xdr:col>
      <xdr:colOff>363532</xdr:colOff>
      <xdr:row>165</xdr:row>
      <xdr:rowOff>95582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5BD3EAA-0FF3-5833-0E95-17266BF7AF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29146500"/>
          <a:ext cx="11336332" cy="238158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167</xdr:row>
      <xdr:rowOff>0</xdr:rowOff>
    </xdr:from>
    <xdr:to>
      <xdr:col>19</xdr:col>
      <xdr:colOff>258742</xdr:colOff>
      <xdr:row>183</xdr:row>
      <xdr:rowOff>76636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CC1146E-7F6E-4F4A-80EF-BAF45E971C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31813500"/>
          <a:ext cx="11231542" cy="3124636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170</xdr:row>
      <xdr:rowOff>28575</xdr:rowOff>
    </xdr:from>
    <xdr:to>
      <xdr:col>38</xdr:col>
      <xdr:colOff>363532</xdr:colOff>
      <xdr:row>182</xdr:row>
      <xdr:rowOff>95578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02FEB931-4FAF-BD2A-1CCD-65467789EF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72900" y="32413575"/>
          <a:ext cx="11336332" cy="2353003"/>
        </a:xfrm>
        <a:prstGeom prst="rect">
          <a:avLst/>
        </a:prstGeom>
      </xdr:spPr>
    </xdr:pic>
    <xdr:clientData/>
  </xdr:twoCellAnchor>
  <xdr:twoCellAnchor>
    <xdr:from>
      <xdr:col>1</xdr:col>
      <xdr:colOff>152400</xdr:colOff>
      <xdr:row>29</xdr:row>
      <xdr:rowOff>57150</xdr:rowOff>
    </xdr:from>
    <xdr:to>
      <xdr:col>4</xdr:col>
      <xdr:colOff>485775</xdr:colOff>
      <xdr:row>29</xdr:row>
      <xdr:rowOff>180976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4DDE3B9A-240A-BCC6-AD5B-87D1A764312F}"/>
            </a:ext>
          </a:extLst>
        </xdr:cNvPr>
        <xdr:cNvSpPr/>
      </xdr:nvSpPr>
      <xdr:spPr>
        <a:xfrm>
          <a:off x="342900" y="5581650"/>
          <a:ext cx="2162175" cy="123826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161925</xdr:colOff>
      <xdr:row>28</xdr:row>
      <xdr:rowOff>19050</xdr:rowOff>
    </xdr:from>
    <xdr:to>
      <xdr:col>4</xdr:col>
      <xdr:colOff>495300</xdr:colOff>
      <xdr:row>28</xdr:row>
      <xdr:rowOff>142876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33E9D60F-72CB-4D9E-B160-65D8927D48FA}"/>
            </a:ext>
          </a:extLst>
        </xdr:cNvPr>
        <xdr:cNvSpPr/>
      </xdr:nvSpPr>
      <xdr:spPr>
        <a:xfrm>
          <a:off x="352425" y="5353050"/>
          <a:ext cx="2162175" cy="123826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161925</xdr:colOff>
      <xdr:row>26</xdr:row>
      <xdr:rowOff>0</xdr:rowOff>
    </xdr:from>
    <xdr:to>
      <xdr:col>4</xdr:col>
      <xdr:colOff>495300</xdr:colOff>
      <xdr:row>26</xdr:row>
      <xdr:rowOff>123826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20A76BD8-66FD-4839-A28B-1E6171E300BA}"/>
            </a:ext>
          </a:extLst>
        </xdr:cNvPr>
        <xdr:cNvSpPr/>
      </xdr:nvSpPr>
      <xdr:spPr>
        <a:xfrm>
          <a:off x="352425" y="4953000"/>
          <a:ext cx="2162175" cy="123826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171450</xdr:colOff>
      <xdr:row>24</xdr:row>
      <xdr:rowOff>161925</xdr:rowOff>
    </xdr:from>
    <xdr:to>
      <xdr:col>4</xdr:col>
      <xdr:colOff>504825</xdr:colOff>
      <xdr:row>25</xdr:row>
      <xdr:rowOff>95251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77C5D282-3775-4BE2-B4CB-9AA1D52F56FF}"/>
            </a:ext>
          </a:extLst>
        </xdr:cNvPr>
        <xdr:cNvSpPr/>
      </xdr:nvSpPr>
      <xdr:spPr>
        <a:xfrm>
          <a:off x="361950" y="4733925"/>
          <a:ext cx="2162175" cy="123826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95250</xdr:colOff>
      <xdr:row>27</xdr:row>
      <xdr:rowOff>9525</xdr:rowOff>
    </xdr:from>
    <xdr:to>
      <xdr:col>15</xdr:col>
      <xdr:colOff>428625</xdr:colOff>
      <xdr:row>27</xdr:row>
      <xdr:rowOff>133351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CC83EC4C-7F7D-4C45-BB93-9CA12416D5DC}"/>
            </a:ext>
          </a:extLst>
        </xdr:cNvPr>
        <xdr:cNvSpPr/>
      </xdr:nvSpPr>
      <xdr:spPr>
        <a:xfrm>
          <a:off x="6991350" y="5153025"/>
          <a:ext cx="2162175" cy="123826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123825</xdr:colOff>
      <xdr:row>24</xdr:row>
      <xdr:rowOff>161925</xdr:rowOff>
    </xdr:from>
    <xdr:to>
      <xdr:col>15</xdr:col>
      <xdr:colOff>457200</xdr:colOff>
      <xdr:row>25</xdr:row>
      <xdr:rowOff>95251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EE461C77-8E9B-4C65-8F85-C96B47DE4AA7}"/>
            </a:ext>
          </a:extLst>
        </xdr:cNvPr>
        <xdr:cNvSpPr/>
      </xdr:nvSpPr>
      <xdr:spPr>
        <a:xfrm>
          <a:off x="7019925" y="4733925"/>
          <a:ext cx="2162175" cy="123826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123825</xdr:colOff>
      <xdr:row>25</xdr:row>
      <xdr:rowOff>171450</xdr:rowOff>
    </xdr:from>
    <xdr:to>
      <xdr:col>15</xdr:col>
      <xdr:colOff>457200</xdr:colOff>
      <xdr:row>26</xdr:row>
      <xdr:rowOff>104776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B4AC1D3F-8851-447F-9399-1D3A9125C167}"/>
            </a:ext>
          </a:extLst>
        </xdr:cNvPr>
        <xdr:cNvSpPr/>
      </xdr:nvSpPr>
      <xdr:spPr>
        <a:xfrm>
          <a:off x="7019925" y="4933950"/>
          <a:ext cx="2162175" cy="123826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12</xdr:col>
      <xdr:colOff>95250</xdr:colOff>
      <xdr:row>8</xdr:row>
      <xdr:rowOff>0</xdr:rowOff>
    </xdr:from>
    <xdr:ext cx="2209800" cy="17145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2140358E-DF0C-61B8-2C0B-81773FEEC1D2}"/>
            </a:ext>
          </a:extLst>
        </xdr:cNvPr>
        <xdr:cNvSpPr txBox="1"/>
      </xdr:nvSpPr>
      <xdr:spPr>
        <a:xfrm>
          <a:off x="6991350" y="1524000"/>
          <a:ext cx="2209800" cy="171450"/>
        </a:xfrm>
        <a:prstGeom prst="rect">
          <a:avLst/>
        </a:prstGeom>
        <a:solidFill>
          <a:srgbClr val="DCDBB7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r>
            <a:rPr lang="en-US" sz="900" b="1"/>
            <a:t>Max Coil/Bundle</a:t>
          </a:r>
          <a:r>
            <a:rPr lang="en-US" sz="900" b="1" baseline="0"/>
            <a:t> OD(In)</a:t>
          </a:r>
          <a:endParaRPr lang="en-US" sz="900" b="1"/>
        </a:p>
      </xdr:txBody>
    </xdr:sp>
    <xdr:clientData/>
  </xdr:oneCellAnchor>
  <xdr:oneCellAnchor>
    <xdr:from>
      <xdr:col>12</xdr:col>
      <xdr:colOff>95250</xdr:colOff>
      <xdr:row>9</xdr:row>
      <xdr:rowOff>28575</xdr:rowOff>
    </xdr:from>
    <xdr:ext cx="2209800" cy="17145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061A67A2-BFF3-4AA8-8570-FC5265E281E2}"/>
            </a:ext>
          </a:extLst>
        </xdr:cNvPr>
        <xdr:cNvSpPr txBox="1"/>
      </xdr:nvSpPr>
      <xdr:spPr>
        <a:xfrm>
          <a:off x="6991350" y="1743075"/>
          <a:ext cx="2209800" cy="171450"/>
        </a:xfrm>
        <a:prstGeom prst="rect">
          <a:avLst/>
        </a:prstGeom>
        <a:solidFill>
          <a:srgbClr val="DCDBB7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r>
            <a:rPr lang="en-US" sz="900" b="1"/>
            <a:t>Max Coil/Bundle</a:t>
          </a:r>
          <a:r>
            <a:rPr lang="en-US" sz="900" b="1" baseline="0"/>
            <a:t> Weight(In)</a:t>
          </a:r>
          <a:endParaRPr lang="en-US" sz="900" b="1"/>
        </a:p>
      </xdr:txBody>
    </xdr:sp>
    <xdr:clientData/>
  </xdr:oneCellAnchor>
  <xdr:oneCellAnchor>
    <xdr:from>
      <xdr:col>12</xdr:col>
      <xdr:colOff>76200</xdr:colOff>
      <xdr:row>12</xdr:row>
      <xdr:rowOff>66675</xdr:rowOff>
    </xdr:from>
    <xdr:ext cx="2209800" cy="17145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268FA886-E8FE-445F-856D-92708ACDED70}"/>
            </a:ext>
          </a:extLst>
        </xdr:cNvPr>
        <xdr:cNvSpPr txBox="1"/>
      </xdr:nvSpPr>
      <xdr:spPr>
        <a:xfrm>
          <a:off x="6972300" y="2352675"/>
          <a:ext cx="2209800" cy="171450"/>
        </a:xfrm>
        <a:prstGeom prst="rect">
          <a:avLst/>
        </a:prstGeom>
        <a:solidFill>
          <a:srgbClr val="DCDBB7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r>
            <a:rPr lang="en-US" sz="900" b="1"/>
            <a:t>Max Wire/Rod</a:t>
          </a:r>
          <a:r>
            <a:rPr lang="en-US" sz="900" b="1" baseline="0"/>
            <a:t> Dia.(In)</a:t>
          </a:r>
          <a:endParaRPr lang="en-US" sz="900" b="1"/>
        </a:p>
      </xdr:txBody>
    </xdr:sp>
    <xdr:clientData/>
  </xdr:oneCellAnchor>
  <xdr:oneCellAnchor>
    <xdr:from>
      <xdr:col>12</xdr:col>
      <xdr:colOff>85725</xdr:colOff>
      <xdr:row>11</xdr:row>
      <xdr:rowOff>66675</xdr:rowOff>
    </xdr:from>
    <xdr:ext cx="2209800" cy="17145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7FB00C31-FB53-45DD-8637-BE836C7DEF2A}"/>
            </a:ext>
          </a:extLst>
        </xdr:cNvPr>
        <xdr:cNvSpPr txBox="1"/>
      </xdr:nvSpPr>
      <xdr:spPr>
        <a:xfrm>
          <a:off x="6981825" y="2162175"/>
          <a:ext cx="2209800" cy="171450"/>
        </a:xfrm>
        <a:prstGeom prst="rect">
          <a:avLst/>
        </a:prstGeom>
        <a:solidFill>
          <a:srgbClr val="DCDBB7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r>
            <a:rPr lang="en-US" sz="900" b="1"/>
            <a:t>Min Wire/Rod Dia.</a:t>
          </a:r>
          <a:r>
            <a:rPr lang="en-US" sz="900" b="1" baseline="0"/>
            <a:t>(In)</a:t>
          </a:r>
          <a:endParaRPr lang="en-US" sz="900" b="1"/>
        </a:p>
      </xdr:txBody>
    </xdr:sp>
    <xdr:clientData/>
  </xdr:oneCellAnchor>
  <xdr:oneCellAnchor>
    <xdr:from>
      <xdr:col>12</xdr:col>
      <xdr:colOff>104775</xdr:colOff>
      <xdr:row>14</xdr:row>
      <xdr:rowOff>114300</xdr:rowOff>
    </xdr:from>
    <xdr:ext cx="2209800" cy="17145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31A493AC-E470-479A-9469-7035F4210361}"/>
            </a:ext>
          </a:extLst>
        </xdr:cNvPr>
        <xdr:cNvSpPr txBox="1"/>
      </xdr:nvSpPr>
      <xdr:spPr>
        <a:xfrm>
          <a:off x="7000875" y="2781300"/>
          <a:ext cx="2209800" cy="171450"/>
        </a:xfrm>
        <a:prstGeom prst="rect">
          <a:avLst/>
        </a:prstGeom>
        <a:solidFill>
          <a:srgbClr val="DCDBB7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r>
            <a:rPr lang="en-US" sz="900" b="1"/>
            <a:t>Max Coil/Bundle</a:t>
          </a:r>
          <a:r>
            <a:rPr lang="en-US" sz="900" b="1" baseline="0"/>
            <a:t> Weight(Out)</a:t>
          </a:r>
          <a:endParaRPr lang="en-US" sz="900" b="1"/>
        </a:p>
      </xdr:txBody>
    </xdr:sp>
    <xdr:clientData/>
  </xdr:oneCellAnchor>
  <xdr:oneCellAnchor>
    <xdr:from>
      <xdr:col>12</xdr:col>
      <xdr:colOff>104775</xdr:colOff>
      <xdr:row>13</xdr:row>
      <xdr:rowOff>85725</xdr:rowOff>
    </xdr:from>
    <xdr:ext cx="2209800" cy="171450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A7E6C3EF-9AA8-4DDA-8FCB-A4B44258AA18}"/>
            </a:ext>
          </a:extLst>
        </xdr:cNvPr>
        <xdr:cNvSpPr txBox="1"/>
      </xdr:nvSpPr>
      <xdr:spPr>
        <a:xfrm>
          <a:off x="7000875" y="2562225"/>
          <a:ext cx="2209800" cy="171450"/>
        </a:xfrm>
        <a:prstGeom prst="rect">
          <a:avLst/>
        </a:prstGeom>
        <a:solidFill>
          <a:srgbClr val="DCDBB7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r>
            <a:rPr lang="en-US" sz="900" b="1"/>
            <a:t>Max Coil/Bundle</a:t>
          </a:r>
          <a:r>
            <a:rPr lang="en-US" sz="900" b="1" baseline="0"/>
            <a:t> OD(Out)</a:t>
          </a:r>
          <a:endParaRPr lang="en-US" sz="900" b="1"/>
        </a:p>
      </xdr:txBody>
    </xdr:sp>
    <xdr:clientData/>
  </xdr:oneCellAnchor>
  <xdr:oneCellAnchor>
    <xdr:from>
      <xdr:col>12</xdr:col>
      <xdr:colOff>95250</xdr:colOff>
      <xdr:row>17</xdr:row>
      <xdr:rowOff>9525</xdr:rowOff>
    </xdr:from>
    <xdr:ext cx="2209800" cy="17145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5996C1DF-5E22-4354-A2A8-E1FF3960BBFC}"/>
            </a:ext>
          </a:extLst>
        </xdr:cNvPr>
        <xdr:cNvSpPr txBox="1"/>
      </xdr:nvSpPr>
      <xdr:spPr>
        <a:xfrm>
          <a:off x="6991350" y="3248025"/>
          <a:ext cx="2209800" cy="171450"/>
        </a:xfrm>
        <a:prstGeom prst="rect">
          <a:avLst/>
        </a:prstGeom>
        <a:solidFill>
          <a:srgbClr val="DCDBB7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r>
            <a:rPr lang="en-US" sz="900" b="1"/>
            <a:t>Max Coil/Bundle</a:t>
          </a:r>
          <a:r>
            <a:rPr lang="en-US" sz="900" b="1" baseline="0"/>
            <a:t> Width( Out)</a:t>
          </a:r>
          <a:endParaRPr lang="en-US" sz="900" b="1"/>
        </a:p>
      </xdr:txBody>
    </xdr:sp>
    <xdr:clientData/>
  </xdr:oneCellAnchor>
  <xdr:oneCellAnchor>
    <xdr:from>
      <xdr:col>12</xdr:col>
      <xdr:colOff>104775</xdr:colOff>
      <xdr:row>15</xdr:row>
      <xdr:rowOff>133350</xdr:rowOff>
    </xdr:from>
    <xdr:ext cx="2209800" cy="17145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FA5FD475-CB1A-4030-A2C0-1E27E41D5746}"/>
            </a:ext>
          </a:extLst>
        </xdr:cNvPr>
        <xdr:cNvSpPr txBox="1"/>
      </xdr:nvSpPr>
      <xdr:spPr>
        <a:xfrm>
          <a:off x="7000875" y="2990850"/>
          <a:ext cx="2209800" cy="171450"/>
        </a:xfrm>
        <a:prstGeom prst="rect">
          <a:avLst/>
        </a:prstGeom>
        <a:solidFill>
          <a:srgbClr val="DCDBB7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r>
            <a:rPr lang="en-US" sz="900" b="1"/>
            <a:t>Min Coil/Bundle</a:t>
          </a:r>
          <a:r>
            <a:rPr lang="en-US" sz="900" b="1" baseline="0"/>
            <a:t> Width(Out)</a:t>
          </a:r>
          <a:endParaRPr lang="en-US" sz="900" b="1"/>
        </a:p>
      </xdr:txBody>
    </xdr:sp>
    <xdr:clientData/>
  </xdr:oneCellAnchor>
  <xdr:oneCellAnchor>
    <xdr:from>
      <xdr:col>12</xdr:col>
      <xdr:colOff>85725</xdr:colOff>
      <xdr:row>25</xdr:row>
      <xdr:rowOff>152400</xdr:rowOff>
    </xdr:from>
    <xdr:ext cx="2209800" cy="171450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89EB7276-3378-4EB8-9D01-551413F99044}"/>
            </a:ext>
          </a:extLst>
        </xdr:cNvPr>
        <xdr:cNvSpPr txBox="1"/>
      </xdr:nvSpPr>
      <xdr:spPr>
        <a:xfrm>
          <a:off x="6981825" y="4914900"/>
          <a:ext cx="2209800" cy="171450"/>
        </a:xfrm>
        <a:prstGeom prst="rect">
          <a:avLst/>
        </a:prstGeom>
        <a:solidFill>
          <a:srgbClr val="DCDBB7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r>
            <a:rPr lang="en-US" sz="900" b="1"/>
            <a:t>Max Surface</a:t>
          </a:r>
        </a:p>
      </xdr:txBody>
    </xdr:sp>
    <xdr:clientData/>
  </xdr:oneCellAnchor>
  <xdr:oneCellAnchor>
    <xdr:from>
      <xdr:col>12</xdr:col>
      <xdr:colOff>104775</xdr:colOff>
      <xdr:row>10</xdr:row>
      <xdr:rowOff>66675</xdr:rowOff>
    </xdr:from>
    <xdr:ext cx="2209800" cy="171450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AE05F750-16F2-4DC4-99DE-6B8D4522EB17}"/>
            </a:ext>
          </a:extLst>
        </xdr:cNvPr>
        <xdr:cNvSpPr txBox="1"/>
      </xdr:nvSpPr>
      <xdr:spPr>
        <a:xfrm>
          <a:off x="7000875" y="1971675"/>
          <a:ext cx="2209800" cy="171450"/>
        </a:xfrm>
        <a:prstGeom prst="rect">
          <a:avLst/>
        </a:prstGeom>
        <a:solidFill>
          <a:srgbClr val="DCDBB7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r>
            <a:rPr lang="en-US" sz="900" b="1"/>
            <a:t>Max Coil/Bundle</a:t>
          </a:r>
          <a:r>
            <a:rPr lang="en-US" sz="900" b="1" baseline="0"/>
            <a:t> Width( In)</a:t>
          </a:r>
          <a:endParaRPr lang="en-US" sz="900" b="1"/>
        </a:p>
      </xdr:txBody>
    </xdr:sp>
    <xdr:clientData/>
  </xdr:oneCellAnchor>
  <xdr:oneCellAnchor>
    <xdr:from>
      <xdr:col>12</xdr:col>
      <xdr:colOff>76200</xdr:colOff>
      <xdr:row>26</xdr:row>
      <xdr:rowOff>171450</xdr:rowOff>
    </xdr:from>
    <xdr:ext cx="2209800" cy="171450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2BD686FA-B544-42F1-ACE5-30EE76D995FD}"/>
            </a:ext>
          </a:extLst>
        </xdr:cNvPr>
        <xdr:cNvSpPr txBox="1"/>
      </xdr:nvSpPr>
      <xdr:spPr>
        <a:xfrm>
          <a:off x="6972300" y="5124450"/>
          <a:ext cx="2209800" cy="171450"/>
        </a:xfrm>
        <a:prstGeom prst="rect">
          <a:avLst/>
        </a:prstGeom>
        <a:solidFill>
          <a:srgbClr val="DCDBB7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r>
            <a:rPr lang="en-US" sz="900" b="1"/>
            <a:t>Max Flatness</a:t>
          </a:r>
        </a:p>
      </xdr:txBody>
    </xdr:sp>
    <xdr:clientData/>
  </xdr:oneCellAnchor>
  <xdr:oneCellAnchor>
    <xdr:from>
      <xdr:col>8</xdr:col>
      <xdr:colOff>200026</xdr:colOff>
      <xdr:row>11</xdr:row>
      <xdr:rowOff>19050</xdr:rowOff>
    </xdr:from>
    <xdr:ext cx="2076450" cy="609013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2609650D-C521-08B0-DC21-629B3DADA63B}"/>
            </a:ext>
          </a:extLst>
        </xdr:cNvPr>
        <xdr:cNvSpPr txBox="1"/>
      </xdr:nvSpPr>
      <xdr:spPr>
        <a:xfrm>
          <a:off x="4657726" y="2114550"/>
          <a:ext cx="2076450" cy="609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 b="1">
              <a:solidFill>
                <a:srgbClr val="C00000"/>
              </a:solidFill>
            </a:rPr>
            <a:t>Row descriptions should be changed to reflect what is displayed here.</a:t>
          </a:r>
        </a:p>
      </xdr:txBody>
    </xdr:sp>
    <xdr:clientData/>
  </xdr:oneCellAnchor>
  <xdr:twoCellAnchor>
    <xdr:from>
      <xdr:col>9</xdr:col>
      <xdr:colOff>247650</xdr:colOff>
      <xdr:row>14</xdr:row>
      <xdr:rowOff>123825</xdr:rowOff>
    </xdr:from>
    <xdr:to>
      <xdr:col>11</xdr:col>
      <xdr:colOff>428625</xdr:colOff>
      <xdr:row>16</xdr:row>
      <xdr:rowOff>19050</xdr:rowOff>
    </xdr:to>
    <xdr:sp macro="" textlink="">
      <xdr:nvSpPr>
        <xdr:cNvPr id="65" name="Arrow: Right 64">
          <a:extLst>
            <a:ext uri="{FF2B5EF4-FFF2-40B4-BE49-F238E27FC236}">
              <a16:creationId xmlns:a16="http://schemas.microsoft.com/office/drawing/2014/main" id="{7EDBEE79-750F-2022-8017-42C9E295B33F}"/>
            </a:ext>
          </a:extLst>
        </xdr:cNvPr>
        <xdr:cNvSpPr/>
      </xdr:nvSpPr>
      <xdr:spPr>
        <a:xfrm>
          <a:off x="5314950" y="2790825"/>
          <a:ext cx="1400175" cy="276225"/>
        </a:xfrm>
        <a:prstGeom prst="rightArrow">
          <a:avLst/>
        </a:prstGeom>
        <a:solidFill>
          <a:srgbClr val="C00000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209550</xdr:colOff>
      <xdr:row>26</xdr:row>
      <xdr:rowOff>85725</xdr:rowOff>
    </xdr:from>
    <xdr:to>
      <xdr:col>11</xdr:col>
      <xdr:colOff>390525</xdr:colOff>
      <xdr:row>27</xdr:row>
      <xdr:rowOff>171450</xdr:rowOff>
    </xdr:to>
    <xdr:sp macro="" textlink="">
      <xdr:nvSpPr>
        <xdr:cNvPr id="66" name="Arrow: Right 65">
          <a:extLst>
            <a:ext uri="{FF2B5EF4-FFF2-40B4-BE49-F238E27FC236}">
              <a16:creationId xmlns:a16="http://schemas.microsoft.com/office/drawing/2014/main" id="{EA43AE58-1EEF-4C59-B80D-66406B2C8697}"/>
            </a:ext>
          </a:extLst>
        </xdr:cNvPr>
        <xdr:cNvSpPr/>
      </xdr:nvSpPr>
      <xdr:spPr>
        <a:xfrm>
          <a:off x="5276850" y="5038725"/>
          <a:ext cx="1400175" cy="276225"/>
        </a:xfrm>
        <a:prstGeom prst="rightArrow">
          <a:avLst/>
        </a:prstGeom>
        <a:solidFill>
          <a:srgbClr val="C00000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561975</xdr:colOff>
      <xdr:row>24</xdr:row>
      <xdr:rowOff>161924</xdr:rowOff>
    </xdr:from>
    <xdr:to>
      <xdr:col>8</xdr:col>
      <xdr:colOff>285750</xdr:colOff>
      <xdr:row>26</xdr:row>
      <xdr:rowOff>114299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5E668F51-C95A-49DF-856F-B60992AD0B5C}"/>
            </a:ext>
          </a:extLst>
        </xdr:cNvPr>
        <xdr:cNvSpPr/>
      </xdr:nvSpPr>
      <xdr:spPr>
        <a:xfrm>
          <a:off x="2581275" y="4733924"/>
          <a:ext cx="2162175" cy="333375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352425</xdr:colOff>
      <xdr:row>12</xdr:row>
      <xdr:rowOff>66674</xdr:rowOff>
    </xdr:from>
    <xdr:to>
      <xdr:col>17</xdr:col>
      <xdr:colOff>533400</xdr:colOff>
      <xdr:row>14</xdr:row>
      <xdr:rowOff>76199</xdr:rowOff>
    </xdr:to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F27D7A7D-A21E-4041-0C6B-157E838318DD}"/>
            </a:ext>
          </a:extLst>
        </xdr:cNvPr>
        <xdr:cNvSpPr/>
      </xdr:nvSpPr>
      <xdr:spPr>
        <a:xfrm>
          <a:off x="10296525" y="2352674"/>
          <a:ext cx="180975" cy="39052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17</xdr:col>
      <xdr:colOff>352425</xdr:colOff>
      <xdr:row>12</xdr:row>
      <xdr:rowOff>66675</xdr:rowOff>
    </xdr:from>
    <xdr:to>
      <xdr:col>17</xdr:col>
      <xdr:colOff>562004</xdr:colOff>
      <xdr:row>13</xdr:row>
      <xdr:rowOff>66702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F126A268-FE42-C17B-8FF5-422CDDBDB9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96525" y="2352675"/>
          <a:ext cx="209579" cy="190527"/>
        </a:xfrm>
        <a:prstGeom prst="rect">
          <a:avLst/>
        </a:prstGeom>
      </xdr:spPr>
    </xdr:pic>
    <xdr:clientData/>
  </xdr:twoCellAnchor>
  <xdr:twoCellAnchor editAs="oneCell">
    <xdr:from>
      <xdr:col>17</xdr:col>
      <xdr:colOff>352425</xdr:colOff>
      <xdr:row>13</xdr:row>
      <xdr:rowOff>66675</xdr:rowOff>
    </xdr:from>
    <xdr:to>
      <xdr:col>17</xdr:col>
      <xdr:colOff>562004</xdr:colOff>
      <xdr:row>14</xdr:row>
      <xdr:rowOff>66702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955B1B5C-2D35-4B11-8035-DB2623C52C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96525" y="2543175"/>
          <a:ext cx="209579" cy="190527"/>
        </a:xfrm>
        <a:prstGeom prst="rect">
          <a:avLst/>
        </a:prstGeom>
      </xdr:spPr>
    </xdr:pic>
    <xdr:clientData/>
  </xdr:twoCellAnchor>
  <xdr:twoCellAnchor editAs="oneCell">
    <xdr:from>
      <xdr:col>17</xdr:col>
      <xdr:colOff>333375</xdr:colOff>
      <xdr:row>9</xdr:row>
      <xdr:rowOff>47625</xdr:rowOff>
    </xdr:from>
    <xdr:to>
      <xdr:col>18</xdr:col>
      <xdr:colOff>39</xdr:colOff>
      <xdr:row>9</xdr:row>
      <xdr:rowOff>180994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84A688B6-B66A-AF92-11D5-D09F95234B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77475" y="1762125"/>
          <a:ext cx="276264" cy="133369"/>
        </a:xfrm>
        <a:prstGeom prst="rect">
          <a:avLst/>
        </a:prstGeom>
      </xdr:spPr>
    </xdr:pic>
    <xdr:clientData/>
  </xdr:twoCellAnchor>
  <xdr:twoCellAnchor editAs="oneCell">
    <xdr:from>
      <xdr:col>12</xdr:col>
      <xdr:colOff>76200</xdr:colOff>
      <xdr:row>24</xdr:row>
      <xdr:rowOff>114300</xdr:rowOff>
    </xdr:from>
    <xdr:to>
      <xdr:col>18</xdr:col>
      <xdr:colOff>400606</xdr:colOff>
      <xdr:row>29</xdr:row>
      <xdr:rowOff>117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F1792A17-13FE-BC18-0DDB-935B33663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72300" y="4686300"/>
          <a:ext cx="3982006" cy="838317"/>
        </a:xfrm>
        <a:prstGeom prst="rect">
          <a:avLst/>
        </a:prstGeom>
      </xdr:spPr>
    </xdr:pic>
    <xdr:clientData/>
  </xdr:twoCellAnchor>
  <xdr:twoCellAnchor editAs="oneCell">
    <xdr:from>
      <xdr:col>12</xdr:col>
      <xdr:colOff>38100</xdr:colOff>
      <xdr:row>28</xdr:row>
      <xdr:rowOff>161925</xdr:rowOff>
    </xdr:from>
    <xdr:to>
      <xdr:col>17</xdr:col>
      <xdr:colOff>67104</xdr:colOff>
      <xdr:row>30</xdr:row>
      <xdr:rowOff>19083</xdr:rowOff>
    </xdr:to>
    <xdr:pic>
      <xdr:nvPicPr>
        <xdr:cNvPr id="84" name="Picture 83">
          <a:extLst>
            <a:ext uri="{FF2B5EF4-FFF2-40B4-BE49-F238E27FC236}">
              <a16:creationId xmlns:a16="http://schemas.microsoft.com/office/drawing/2014/main" id="{22859FD7-31D4-59D7-6D50-511FAD873C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34200" y="5495925"/>
          <a:ext cx="3077004" cy="238158"/>
        </a:xfrm>
        <a:prstGeom prst="rect">
          <a:avLst/>
        </a:prstGeom>
      </xdr:spPr>
    </xdr:pic>
    <xdr:clientData/>
  </xdr:twoCellAnchor>
  <xdr:oneCellAnchor>
    <xdr:from>
      <xdr:col>8</xdr:col>
      <xdr:colOff>219076</xdr:colOff>
      <xdr:row>27</xdr:row>
      <xdr:rowOff>161925</xdr:rowOff>
    </xdr:from>
    <xdr:ext cx="2076450" cy="609013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F3672BBE-B42D-4B0C-AAE8-E4E6979AE76F}"/>
            </a:ext>
          </a:extLst>
        </xdr:cNvPr>
        <xdr:cNvSpPr txBox="1"/>
      </xdr:nvSpPr>
      <xdr:spPr>
        <a:xfrm>
          <a:off x="4676776" y="5305425"/>
          <a:ext cx="2076450" cy="609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 b="1">
              <a:solidFill>
                <a:srgbClr val="C00000"/>
              </a:solidFill>
            </a:rPr>
            <a:t>Row descriptions should be copied</a:t>
          </a:r>
          <a:r>
            <a:rPr lang="en-US" sz="1100" b="1" baseline="0">
              <a:solidFill>
                <a:srgbClr val="C00000"/>
              </a:solidFill>
            </a:rPr>
            <a:t> from mill template</a:t>
          </a:r>
          <a:r>
            <a:rPr lang="en-US" sz="1100" b="1">
              <a:solidFill>
                <a:srgbClr val="C00000"/>
              </a:solidFill>
            </a:rPr>
            <a:t> to reflect what is displayed here.</a:t>
          </a:r>
        </a:p>
      </xdr:txBody>
    </xdr:sp>
    <xdr:clientData/>
  </xdr:oneCellAnchor>
  <xdr:oneCellAnchor>
    <xdr:from>
      <xdr:col>1</xdr:col>
      <xdr:colOff>76199</xdr:colOff>
      <xdr:row>2</xdr:row>
      <xdr:rowOff>85725</xdr:rowOff>
    </xdr:from>
    <xdr:ext cx="7219951" cy="264560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DE932B6E-8422-437B-B983-E0C69C2FDE88}"/>
            </a:ext>
          </a:extLst>
        </xdr:cNvPr>
        <xdr:cNvSpPr txBox="1"/>
      </xdr:nvSpPr>
      <xdr:spPr>
        <a:xfrm>
          <a:off x="266699" y="466725"/>
          <a:ext cx="721995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 b="1">
              <a:solidFill>
                <a:srgbClr val="C00000"/>
              </a:solidFill>
            </a:rPr>
            <a:t>Tab descriptions should be changed to reflect what is displayed here. Pulled from slitter and mill templates. </a:t>
          </a:r>
        </a:p>
      </xdr:txBody>
    </xdr:sp>
    <xdr:clientData/>
  </xdr:oneCellAnchor>
  <xdr:twoCellAnchor>
    <xdr:from>
      <xdr:col>11</xdr:col>
      <xdr:colOff>266699</xdr:colOff>
      <xdr:row>1</xdr:row>
      <xdr:rowOff>0</xdr:rowOff>
    </xdr:from>
    <xdr:to>
      <xdr:col>11</xdr:col>
      <xdr:colOff>542924</xdr:colOff>
      <xdr:row>3</xdr:row>
      <xdr:rowOff>180975</xdr:rowOff>
    </xdr:to>
    <xdr:sp macro="" textlink="">
      <xdr:nvSpPr>
        <xdr:cNvPr id="87" name="Arrow: Right 86">
          <a:extLst>
            <a:ext uri="{FF2B5EF4-FFF2-40B4-BE49-F238E27FC236}">
              <a16:creationId xmlns:a16="http://schemas.microsoft.com/office/drawing/2014/main" id="{95103EB3-54D0-4092-87C9-45CBB42ABA8A}"/>
            </a:ext>
          </a:extLst>
        </xdr:cNvPr>
        <xdr:cNvSpPr/>
      </xdr:nvSpPr>
      <xdr:spPr>
        <a:xfrm rot="5400000">
          <a:off x="6410324" y="333375"/>
          <a:ext cx="561975" cy="276225"/>
        </a:xfrm>
        <a:prstGeom prst="rightArrow">
          <a:avLst/>
        </a:prstGeom>
        <a:solidFill>
          <a:srgbClr val="C00000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57151</xdr:colOff>
      <xdr:row>65</xdr:row>
      <xdr:rowOff>0</xdr:rowOff>
    </xdr:from>
    <xdr:to>
      <xdr:col>14</xdr:col>
      <xdr:colOff>238126</xdr:colOff>
      <xdr:row>66</xdr:row>
      <xdr:rowOff>85725</xdr:rowOff>
    </xdr:to>
    <xdr:sp macro="" textlink="">
      <xdr:nvSpPr>
        <xdr:cNvPr id="88" name="Arrow: Right 87">
          <a:extLst>
            <a:ext uri="{FF2B5EF4-FFF2-40B4-BE49-F238E27FC236}">
              <a16:creationId xmlns:a16="http://schemas.microsoft.com/office/drawing/2014/main" id="{CCC32454-B1BB-4D2C-B5BD-C4631A24240F}"/>
            </a:ext>
          </a:extLst>
        </xdr:cNvPr>
        <xdr:cNvSpPr/>
      </xdr:nvSpPr>
      <xdr:spPr>
        <a:xfrm>
          <a:off x="6953251" y="12382500"/>
          <a:ext cx="1400175" cy="276225"/>
        </a:xfrm>
        <a:prstGeom prst="rightArrow">
          <a:avLst/>
        </a:prstGeom>
        <a:solidFill>
          <a:srgbClr val="C00000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oneCellAnchor>
    <xdr:from>
      <xdr:col>11</xdr:col>
      <xdr:colOff>276226</xdr:colOff>
      <xdr:row>62</xdr:row>
      <xdr:rowOff>85725</xdr:rowOff>
    </xdr:from>
    <xdr:ext cx="2076450" cy="436786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796D0745-073D-4638-8115-1973EC0F914C}"/>
            </a:ext>
          </a:extLst>
        </xdr:cNvPr>
        <xdr:cNvSpPr txBox="1"/>
      </xdr:nvSpPr>
      <xdr:spPr>
        <a:xfrm>
          <a:off x="6562726" y="11896725"/>
          <a:ext cx="2076450" cy="436786"/>
        </a:xfrm>
        <a:prstGeom prst="rect">
          <a:avLst/>
        </a:prstGeom>
        <a:noFill/>
        <a:ln>
          <a:solidFill>
            <a:srgbClr val="C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 b="1">
              <a:solidFill>
                <a:srgbClr val="C00000"/>
              </a:solidFill>
            </a:rPr>
            <a:t>Change both descriptions to Flattening Line</a:t>
          </a:r>
          <a:r>
            <a:rPr lang="en-US" sz="1100" b="1" baseline="0">
              <a:solidFill>
                <a:srgbClr val="C00000"/>
              </a:solidFill>
            </a:rPr>
            <a:t> Schedule</a:t>
          </a:r>
          <a:endParaRPr lang="en-US" sz="1100" b="1">
            <a:solidFill>
              <a:srgbClr val="C00000"/>
            </a:solidFill>
          </a:endParaRPr>
        </a:p>
      </xdr:txBody>
    </xdr:sp>
    <xdr:clientData/>
  </xdr:oneCellAnchor>
  <xdr:twoCellAnchor>
    <xdr:from>
      <xdr:col>9</xdr:col>
      <xdr:colOff>533401</xdr:colOff>
      <xdr:row>66</xdr:row>
      <xdr:rowOff>66675</xdr:rowOff>
    </xdr:from>
    <xdr:to>
      <xdr:col>12</xdr:col>
      <xdr:colOff>104776</xdr:colOff>
      <xdr:row>67</xdr:row>
      <xdr:rowOff>152400</xdr:rowOff>
    </xdr:to>
    <xdr:sp macro="" textlink="">
      <xdr:nvSpPr>
        <xdr:cNvPr id="90" name="Arrow: Right 89">
          <a:extLst>
            <a:ext uri="{FF2B5EF4-FFF2-40B4-BE49-F238E27FC236}">
              <a16:creationId xmlns:a16="http://schemas.microsoft.com/office/drawing/2014/main" id="{4539B0A8-0737-4543-A2D9-B0A3CE2E0658}"/>
            </a:ext>
          </a:extLst>
        </xdr:cNvPr>
        <xdr:cNvSpPr/>
      </xdr:nvSpPr>
      <xdr:spPr>
        <a:xfrm rot="10800000">
          <a:off x="5600701" y="12639675"/>
          <a:ext cx="1400175" cy="276225"/>
        </a:xfrm>
        <a:prstGeom prst="rightArrow">
          <a:avLst/>
        </a:prstGeom>
        <a:solidFill>
          <a:srgbClr val="C00000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13</xdr:col>
      <xdr:colOff>476250</xdr:colOff>
      <xdr:row>142</xdr:row>
      <xdr:rowOff>142875</xdr:rowOff>
    </xdr:from>
    <xdr:to>
      <xdr:col>14</xdr:col>
      <xdr:colOff>142875</xdr:colOff>
      <xdr:row>150</xdr:row>
      <xdr:rowOff>19050</xdr:rowOff>
    </xdr:to>
    <xdr:sp macro="" textlink="">
      <xdr:nvSpPr>
        <xdr:cNvPr id="91" name="Arrow: Right 90">
          <a:extLst>
            <a:ext uri="{FF2B5EF4-FFF2-40B4-BE49-F238E27FC236}">
              <a16:creationId xmlns:a16="http://schemas.microsoft.com/office/drawing/2014/main" id="{1C3FEF55-9C21-4CD0-911C-20A6B8F19838}"/>
            </a:ext>
          </a:extLst>
        </xdr:cNvPr>
        <xdr:cNvSpPr/>
      </xdr:nvSpPr>
      <xdr:spPr>
        <a:xfrm rot="16200000">
          <a:off x="7419975" y="27755850"/>
          <a:ext cx="1400175" cy="276225"/>
        </a:xfrm>
        <a:prstGeom prst="rightArrow">
          <a:avLst/>
        </a:prstGeom>
        <a:solidFill>
          <a:srgbClr val="C00000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oneCellAnchor>
    <xdr:from>
      <xdr:col>14</xdr:col>
      <xdr:colOff>85725</xdr:colOff>
      <xdr:row>149</xdr:row>
      <xdr:rowOff>152400</xdr:rowOff>
    </xdr:from>
    <xdr:ext cx="2076450" cy="264560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676F212A-1F47-47A5-A9DC-B2CEBCA92CDF}"/>
            </a:ext>
          </a:extLst>
        </xdr:cNvPr>
        <xdr:cNvSpPr txBox="1"/>
      </xdr:nvSpPr>
      <xdr:spPr>
        <a:xfrm>
          <a:off x="8201025" y="28536900"/>
          <a:ext cx="2076450" cy="264560"/>
        </a:xfrm>
        <a:prstGeom prst="rect">
          <a:avLst/>
        </a:prstGeom>
        <a:noFill/>
        <a:ln>
          <a:solidFill>
            <a:srgbClr val="C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 b="1">
              <a:solidFill>
                <a:srgbClr val="C00000"/>
              </a:solidFill>
            </a:rPr>
            <a:t>Remove</a:t>
          </a:r>
          <a:r>
            <a:rPr lang="en-US" sz="1100" b="1" baseline="0">
              <a:solidFill>
                <a:srgbClr val="C00000"/>
              </a:solidFill>
            </a:rPr>
            <a:t> Max # of Cuts column</a:t>
          </a:r>
          <a:endParaRPr lang="en-US" sz="1100" b="1">
            <a:solidFill>
              <a:srgbClr val="C00000"/>
            </a:solidFill>
          </a:endParaRPr>
        </a:p>
      </xdr:txBody>
    </xdr:sp>
    <xdr:clientData/>
  </xdr:oneCellAnchor>
  <xdr:twoCellAnchor>
    <xdr:from>
      <xdr:col>5</xdr:col>
      <xdr:colOff>380999</xdr:colOff>
      <xdr:row>134</xdr:row>
      <xdr:rowOff>76200</xdr:rowOff>
    </xdr:from>
    <xdr:to>
      <xdr:col>6</xdr:col>
      <xdr:colOff>47624</xdr:colOff>
      <xdr:row>137</xdr:row>
      <xdr:rowOff>66675</xdr:rowOff>
    </xdr:to>
    <xdr:sp macro="" textlink="">
      <xdr:nvSpPr>
        <xdr:cNvPr id="94" name="Arrow: Right 93">
          <a:extLst>
            <a:ext uri="{FF2B5EF4-FFF2-40B4-BE49-F238E27FC236}">
              <a16:creationId xmlns:a16="http://schemas.microsoft.com/office/drawing/2014/main" id="{DDADE0B4-0C13-436D-8334-BA2E0C3BA0C1}"/>
            </a:ext>
          </a:extLst>
        </xdr:cNvPr>
        <xdr:cNvSpPr/>
      </xdr:nvSpPr>
      <xdr:spPr>
        <a:xfrm rot="5400000">
          <a:off x="2867024" y="25746075"/>
          <a:ext cx="561975" cy="276225"/>
        </a:xfrm>
        <a:prstGeom prst="rightArrow">
          <a:avLst/>
        </a:prstGeom>
        <a:solidFill>
          <a:srgbClr val="C00000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oneCellAnchor>
    <xdr:from>
      <xdr:col>6</xdr:col>
      <xdr:colOff>171450</xdr:colOff>
      <xdr:row>135</xdr:row>
      <xdr:rowOff>161925</xdr:rowOff>
    </xdr:from>
    <xdr:ext cx="2228850" cy="264560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4E970407-6106-4D86-9E39-D024066102BF}"/>
            </a:ext>
          </a:extLst>
        </xdr:cNvPr>
        <xdr:cNvSpPr txBox="1"/>
      </xdr:nvSpPr>
      <xdr:spPr>
        <a:xfrm>
          <a:off x="3409950" y="25879425"/>
          <a:ext cx="2228850" cy="264560"/>
        </a:xfrm>
        <a:prstGeom prst="rect">
          <a:avLst/>
        </a:prstGeom>
        <a:noFill/>
        <a:ln>
          <a:solidFill>
            <a:srgbClr val="C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 b="1">
              <a:solidFill>
                <a:srgbClr val="C00000"/>
              </a:solidFill>
            </a:rPr>
            <a:t>Remove</a:t>
          </a:r>
          <a:r>
            <a:rPr lang="en-US" sz="1100" b="1" baseline="0">
              <a:solidFill>
                <a:srgbClr val="C00000"/>
              </a:solidFill>
            </a:rPr>
            <a:t> Max Cuts from description</a:t>
          </a:r>
          <a:endParaRPr lang="en-US" sz="1100" b="1">
            <a:solidFill>
              <a:srgbClr val="C00000"/>
            </a:solidFill>
          </a:endParaRPr>
        </a:p>
      </xdr:txBody>
    </xdr:sp>
    <xdr:clientData/>
  </xdr:oneCellAnchor>
  <xdr:twoCellAnchor>
    <xdr:from>
      <xdr:col>14</xdr:col>
      <xdr:colOff>76200</xdr:colOff>
      <xdr:row>97</xdr:row>
      <xdr:rowOff>19050</xdr:rowOff>
    </xdr:from>
    <xdr:to>
      <xdr:col>14</xdr:col>
      <xdr:colOff>352425</xdr:colOff>
      <xdr:row>104</xdr:row>
      <xdr:rowOff>85725</xdr:rowOff>
    </xdr:to>
    <xdr:sp macro="" textlink="">
      <xdr:nvSpPr>
        <xdr:cNvPr id="96" name="Arrow: Right 95">
          <a:extLst>
            <a:ext uri="{FF2B5EF4-FFF2-40B4-BE49-F238E27FC236}">
              <a16:creationId xmlns:a16="http://schemas.microsoft.com/office/drawing/2014/main" id="{35881B03-170C-480F-97D9-46E0912F89CF}"/>
            </a:ext>
          </a:extLst>
        </xdr:cNvPr>
        <xdr:cNvSpPr/>
      </xdr:nvSpPr>
      <xdr:spPr>
        <a:xfrm rot="16200000">
          <a:off x="7629525" y="19059525"/>
          <a:ext cx="1400175" cy="276225"/>
        </a:xfrm>
        <a:prstGeom prst="rightArrow">
          <a:avLst/>
        </a:prstGeom>
        <a:solidFill>
          <a:srgbClr val="C00000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oneCellAnchor>
    <xdr:from>
      <xdr:col>14</xdr:col>
      <xdr:colOff>295275</xdr:colOff>
      <xdr:row>104</xdr:row>
      <xdr:rowOff>28575</xdr:rowOff>
    </xdr:from>
    <xdr:ext cx="2076450" cy="264560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C221A978-EBCC-4B82-8C23-87B57B5BF7D1}"/>
            </a:ext>
          </a:extLst>
        </xdr:cNvPr>
        <xdr:cNvSpPr txBox="1"/>
      </xdr:nvSpPr>
      <xdr:spPr>
        <a:xfrm>
          <a:off x="8410575" y="19840575"/>
          <a:ext cx="2076450" cy="264560"/>
        </a:xfrm>
        <a:prstGeom prst="rect">
          <a:avLst/>
        </a:prstGeom>
        <a:noFill/>
        <a:ln>
          <a:solidFill>
            <a:srgbClr val="C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 b="1">
              <a:solidFill>
                <a:srgbClr val="C00000"/>
              </a:solidFill>
            </a:rPr>
            <a:t>Remove</a:t>
          </a:r>
          <a:r>
            <a:rPr lang="en-US" sz="1100" b="1" baseline="0">
              <a:solidFill>
                <a:srgbClr val="C00000"/>
              </a:solidFill>
            </a:rPr>
            <a:t> Number of Cuts column</a:t>
          </a:r>
          <a:endParaRPr lang="en-US" sz="1100" b="1">
            <a:solidFill>
              <a:srgbClr val="C00000"/>
            </a:solidFill>
          </a:endParaRPr>
        </a:p>
      </xdr:txBody>
    </xdr:sp>
    <xdr:clientData/>
  </xdr:oneCellAnchor>
  <xdr:twoCellAnchor>
    <xdr:from>
      <xdr:col>12</xdr:col>
      <xdr:colOff>171449</xdr:colOff>
      <xdr:row>138</xdr:row>
      <xdr:rowOff>114300</xdr:rowOff>
    </xdr:from>
    <xdr:to>
      <xdr:col>13</xdr:col>
      <xdr:colOff>123824</xdr:colOff>
      <xdr:row>140</xdr:row>
      <xdr:rowOff>9525</xdr:rowOff>
    </xdr:to>
    <xdr:sp macro="" textlink="">
      <xdr:nvSpPr>
        <xdr:cNvPr id="98" name="Arrow: Right 97">
          <a:extLst>
            <a:ext uri="{FF2B5EF4-FFF2-40B4-BE49-F238E27FC236}">
              <a16:creationId xmlns:a16="http://schemas.microsoft.com/office/drawing/2014/main" id="{E590BFD4-32E4-4F16-A236-714C931754E5}"/>
            </a:ext>
          </a:extLst>
        </xdr:cNvPr>
        <xdr:cNvSpPr/>
      </xdr:nvSpPr>
      <xdr:spPr>
        <a:xfrm rot="10800000">
          <a:off x="7067549" y="26403300"/>
          <a:ext cx="561975" cy="276225"/>
        </a:xfrm>
        <a:prstGeom prst="rightArrow">
          <a:avLst/>
        </a:prstGeom>
        <a:solidFill>
          <a:srgbClr val="C00000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495300</xdr:colOff>
      <xdr:row>89</xdr:row>
      <xdr:rowOff>76200</xdr:rowOff>
    </xdr:from>
    <xdr:to>
      <xdr:col>10</xdr:col>
      <xdr:colOff>161925</xdr:colOff>
      <xdr:row>92</xdr:row>
      <xdr:rowOff>66675</xdr:rowOff>
    </xdr:to>
    <xdr:sp macro="" textlink="">
      <xdr:nvSpPr>
        <xdr:cNvPr id="99" name="Arrow: Right 98">
          <a:extLst>
            <a:ext uri="{FF2B5EF4-FFF2-40B4-BE49-F238E27FC236}">
              <a16:creationId xmlns:a16="http://schemas.microsoft.com/office/drawing/2014/main" id="{4106B30D-FF9D-4E5A-978F-4CAAE17B611F}"/>
            </a:ext>
          </a:extLst>
        </xdr:cNvPr>
        <xdr:cNvSpPr/>
      </xdr:nvSpPr>
      <xdr:spPr>
        <a:xfrm rot="5400000">
          <a:off x="5419725" y="17173575"/>
          <a:ext cx="561975" cy="276225"/>
        </a:xfrm>
        <a:prstGeom prst="rightArrow">
          <a:avLst/>
        </a:prstGeom>
        <a:solidFill>
          <a:srgbClr val="C00000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oneCellAnchor>
    <xdr:from>
      <xdr:col>10</xdr:col>
      <xdr:colOff>285751</xdr:colOff>
      <xdr:row>90</xdr:row>
      <xdr:rowOff>161925</xdr:rowOff>
    </xdr:from>
    <xdr:ext cx="2228850" cy="264560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367655EE-8E5F-4E2F-B176-96EF72E7901F}"/>
            </a:ext>
          </a:extLst>
        </xdr:cNvPr>
        <xdr:cNvSpPr txBox="1"/>
      </xdr:nvSpPr>
      <xdr:spPr>
        <a:xfrm>
          <a:off x="5962651" y="17306925"/>
          <a:ext cx="2228850" cy="264560"/>
        </a:xfrm>
        <a:prstGeom prst="rect">
          <a:avLst/>
        </a:prstGeom>
        <a:noFill/>
        <a:ln>
          <a:solidFill>
            <a:srgbClr val="C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 b="1">
              <a:solidFill>
                <a:srgbClr val="C00000"/>
              </a:solidFill>
            </a:rPr>
            <a:t>Remove</a:t>
          </a:r>
          <a:r>
            <a:rPr lang="en-US" sz="1100" b="1" baseline="0">
              <a:solidFill>
                <a:srgbClr val="C00000"/>
              </a:solidFill>
            </a:rPr>
            <a:t> Max Cuts from description</a:t>
          </a:r>
          <a:endParaRPr lang="en-US" sz="1100" b="1">
            <a:solidFill>
              <a:srgbClr val="C00000"/>
            </a:solidFill>
          </a:endParaRPr>
        </a:p>
      </xdr:txBody>
    </xdr:sp>
    <xdr:clientData/>
  </xdr:oneCellAnchor>
  <xdr:twoCellAnchor>
    <xdr:from>
      <xdr:col>12</xdr:col>
      <xdr:colOff>38100</xdr:colOff>
      <xdr:row>93</xdr:row>
      <xdr:rowOff>142875</xdr:rowOff>
    </xdr:from>
    <xdr:to>
      <xdr:col>12</xdr:col>
      <xdr:colOff>600075</xdr:colOff>
      <xdr:row>95</xdr:row>
      <xdr:rowOff>38100</xdr:rowOff>
    </xdr:to>
    <xdr:sp macro="" textlink="">
      <xdr:nvSpPr>
        <xdr:cNvPr id="101" name="Arrow: Right 100">
          <a:extLst>
            <a:ext uri="{FF2B5EF4-FFF2-40B4-BE49-F238E27FC236}">
              <a16:creationId xmlns:a16="http://schemas.microsoft.com/office/drawing/2014/main" id="{0B631636-AC43-41C5-BD81-A4CCE3B226F9}"/>
            </a:ext>
          </a:extLst>
        </xdr:cNvPr>
        <xdr:cNvSpPr/>
      </xdr:nvSpPr>
      <xdr:spPr>
        <a:xfrm rot="10800000">
          <a:off x="6934200" y="17859375"/>
          <a:ext cx="561975" cy="276225"/>
        </a:xfrm>
        <a:prstGeom prst="rightArrow">
          <a:avLst/>
        </a:prstGeom>
        <a:solidFill>
          <a:srgbClr val="C00000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171450</xdr:colOff>
      <xdr:row>171</xdr:row>
      <xdr:rowOff>180975</xdr:rowOff>
    </xdr:from>
    <xdr:to>
      <xdr:col>9</xdr:col>
      <xdr:colOff>285750</xdr:colOff>
      <xdr:row>183</xdr:row>
      <xdr:rowOff>19050</xdr:rowOff>
    </xdr:to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067571F1-4863-AAC8-6BB1-48748F5567F5}"/>
            </a:ext>
          </a:extLst>
        </xdr:cNvPr>
        <xdr:cNvSpPr/>
      </xdr:nvSpPr>
      <xdr:spPr>
        <a:xfrm>
          <a:off x="3409950" y="32756475"/>
          <a:ext cx="1943100" cy="212407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400049</xdr:colOff>
      <xdr:row>171</xdr:row>
      <xdr:rowOff>161925</xdr:rowOff>
    </xdr:from>
    <xdr:to>
      <xdr:col>18</xdr:col>
      <xdr:colOff>85725</xdr:colOff>
      <xdr:row>183</xdr:row>
      <xdr:rowOff>0</xdr:rowOff>
    </xdr:to>
    <xdr:sp macro="" textlink="">
      <xdr:nvSpPr>
        <xdr:cNvPr id="103" name="Rectangle 102">
          <a:extLst>
            <a:ext uri="{FF2B5EF4-FFF2-40B4-BE49-F238E27FC236}">
              <a16:creationId xmlns:a16="http://schemas.microsoft.com/office/drawing/2014/main" id="{ACDB2C33-CBC0-4433-A461-05185B70509D}"/>
            </a:ext>
          </a:extLst>
        </xdr:cNvPr>
        <xdr:cNvSpPr/>
      </xdr:nvSpPr>
      <xdr:spPr>
        <a:xfrm>
          <a:off x="6686549" y="32737425"/>
          <a:ext cx="3952876" cy="212407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6</xdr:col>
      <xdr:colOff>228600</xdr:colOff>
      <xdr:row>172</xdr:row>
      <xdr:rowOff>114300</xdr:rowOff>
    </xdr:from>
    <xdr:to>
      <xdr:col>7</xdr:col>
      <xdr:colOff>295369</xdr:colOff>
      <xdr:row>183</xdr:row>
      <xdr:rowOff>19329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2802A103-2684-2088-B784-4755DD0EE3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67100" y="32880300"/>
          <a:ext cx="676369" cy="2000529"/>
        </a:xfrm>
        <a:prstGeom prst="rect">
          <a:avLst/>
        </a:prstGeom>
      </xdr:spPr>
    </xdr:pic>
    <xdr:clientData/>
  </xdr:twoCellAnchor>
  <xdr:twoCellAnchor editAs="oneCell">
    <xdr:from>
      <xdr:col>11</xdr:col>
      <xdr:colOff>476250</xdr:colOff>
      <xdr:row>171</xdr:row>
      <xdr:rowOff>123825</xdr:rowOff>
    </xdr:from>
    <xdr:to>
      <xdr:col>12</xdr:col>
      <xdr:colOff>552546</xdr:colOff>
      <xdr:row>180</xdr:row>
      <xdr:rowOff>152643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EB472B59-0611-221C-74E3-6809A9FF74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62750" y="32699325"/>
          <a:ext cx="685896" cy="1743318"/>
        </a:xfrm>
        <a:prstGeom prst="rect">
          <a:avLst/>
        </a:prstGeom>
      </xdr:spPr>
    </xdr:pic>
    <xdr:clientData/>
  </xdr:twoCellAnchor>
  <xdr:oneCellAnchor>
    <xdr:from>
      <xdr:col>7</xdr:col>
      <xdr:colOff>304799</xdr:colOff>
      <xdr:row>174</xdr:row>
      <xdr:rowOff>47625</xdr:rowOff>
    </xdr:from>
    <xdr:ext cx="1162051" cy="1689221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6A53A396-FB07-48FC-806C-F44724A3D189}"/>
            </a:ext>
          </a:extLst>
        </xdr:cNvPr>
        <xdr:cNvSpPr txBox="1"/>
      </xdr:nvSpPr>
      <xdr:spPr>
        <a:xfrm>
          <a:off x="4152899" y="33194625"/>
          <a:ext cx="1162051" cy="1689221"/>
        </a:xfrm>
        <a:prstGeom prst="rect">
          <a:avLst/>
        </a:prstGeom>
        <a:noFill/>
        <a:ln>
          <a:solidFill>
            <a:srgbClr val="C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100" b="1">
              <a:solidFill>
                <a:srgbClr val="C00000"/>
              </a:solidFill>
            </a:rPr>
            <a:t>Column descriptions should be copied</a:t>
          </a:r>
          <a:r>
            <a:rPr lang="en-US" sz="1100" b="1" baseline="0">
              <a:solidFill>
                <a:srgbClr val="C00000"/>
              </a:solidFill>
            </a:rPr>
            <a:t> from Mill &amp; Slitter Templates</a:t>
          </a:r>
          <a:r>
            <a:rPr lang="en-US" sz="1100" b="1">
              <a:solidFill>
                <a:srgbClr val="C00000"/>
              </a:solidFill>
            </a:rPr>
            <a:t> to reflect what is displayed here.</a:t>
          </a:r>
        </a:p>
      </xdr:txBody>
    </xdr:sp>
    <xdr:clientData/>
  </xdr:oneCellAnchor>
  <xdr:twoCellAnchor>
    <xdr:from>
      <xdr:col>8</xdr:col>
      <xdr:colOff>142875</xdr:colOff>
      <xdr:row>172</xdr:row>
      <xdr:rowOff>38099</xdr:rowOff>
    </xdr:from>
    <xdr:to>
      <xdr:col>9</xdr:col>
      <xdr:colOff>219074</xdr:colOff>
      <xdr:row>173</xdr:row>
      <xdr:rowOff>123824</xdr:rowOff>
    </xdr:to>
    <xdr:sp macro="" textlink="">
      <xdr:nvSpPr>
        <xdr:cNvPr id="111" name="Arrow: Right 110">
          <a:extLst>
            <a:ext uri="{FF2B5EF4-FFF2-40B4-BE49-F238E27FC236}">
              <a16:creationId xmlns:a16="http://schemas.microsoft.com/office/drawing/2014/main" id="{6F4159CA-72DA-4336-BAE5-39602F394C84}"/>
            </a:ext>
          </a:extLst>
        </xdr:cNvPr>
        <xdr:cNvSpPr/>
      </xdr:nvSpPr>
      <xdr:spPr>
        <a:xfrm>
          <a:off x="4600575" y="32804099"/>
          <a:ext cx="685799" cy="276225"/>
        </a:xfrm>
        <a:prstGeom prst="rightArrow">
          <a:avLst/>
        </a:prstGeom>
        <a:solidFill>
          <a:srgbClr val="C00000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342900</xdr:colOff>
      <xdr:row>172</xdr:row>
      <xdr:rowOff>38099</xdr:rowOff>
    </xdr:from>
    <xdr:to>
      <xdr:col>8</xdr:col>
      <xdr:colOff>419099</xdr:colOff>
      <xdr:row>173</xdr:row>
      <xdr:rowOff>123824</xdr:rowOff>
    </xdr:to>
    <xdr:sp macro="" textlink="">
      <xdr:nvSpPr>
        <xdr:cNvPr id="112" name="Arrow: Right 111">
          <a:extLst>
            <a:ext uri="{FF2B5EF4-FFF2-40B4-BE49-F238E27FC236}">
              <a16:creationId xmlns:a16="http://schemas.microsoft.com/office/drawing/2014/main" id="{3871ABE2-A946-4592-9749-D5DE72F4FBB6}"/>
            </a:ext>
          </a:extLst>
        </xdr:cNvPr>
        <xdr:cNvSpPr/>
      </xdr:nvSpPr>
      <xdr:spPr>
        <a:xfrm rot="10800000">
          <a:off x="4191000" y="32804099"/>
          <a:ext cx="685799" cy="276225"/>
        </a:xfrm>
        <a:prstGeom prst="rightArrow">
          <a:avLst/>
        </a:prstGeom>
        <a:solidFill>
          <a:srgbClr val="C00000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oneCellAnchor>
    <xdr:from>
      <xdr:col>15</xdr:col>
      <xdr:colOff>276225</xdr:colOff>
      <xdr:row>172</xdr:row>
      <xdr:rowOff>28575</xdr:rowOff>
    </xdr:from>
    <xdr:ext cx="1552575" cy="1689221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E7E1A7D8-0B9F-43FB-971B-5F2F115E7535}"/>
            </a:ext>
          </a:extLst>
        </xdr:cNvPr>
        <xdr:cNvSpPr txBox="1"/>
      </xdr:nvSpPr>
      <xdr:spPr>
        <a:xfrm>
          <a:off x="9001125" y="32794575"/>
          <a:ext cx="1552575" cy="1689221"/>
        </a:xfrm>
        <a:prstGeom prst="rect">
          <a:avLst/>
        </a:prstGeom>
        <a:noFill/>
        <a:ln>
          <a:solidFill>
            <a:srgbClr val="C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100" b="1">
              <a:solidFill>
                <a:srgbClr val="C00000"/>
              </a:solidFill>
            </a:rPr>
            <a:t>New columns should be added for conditional dependenceies.</a:t>
          </a:r>
          <a:r>
            <a:rPr lang="en-US" sz="1100" b="1" baseline="0">
              <a:solidFill>
                <a:srgbClr val="C00000"/>
              </a:solidFill>
            </a:rPr>
            <a:t> (DB1, DB2, FM1-S1, FM2-S1, FM2-S2, FM2-S3. Data would be to signify A  (Active) or I (Inactive). </a:t>
          </a:r>
          <a:endParaRPr lang="en-US" sz="1100" b="1">
            <a:solidFill>
              <a:srgbClr val="C00000"/>
            </a:solidFill>
          </a:endParaRPr>
        </a:p>
      </xdr:txBody>
    </xdr:sp>
    <xdr:clientData/>
  </xdr:oneCellAnchor>
  <xdr:oneCellAnchor>
    <xdr:from>
      <xdr:col>11</xdr:col>
      <xdr:colOff>400050</xdr:colOff>
      <xdr:row>168</xdr:row>
      <xdr:rowOff>28576</xdr:rowOff>
    </xdr:from>
    <xdr:ext cx="2581276" cy="285750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0DE70D3D-075B-48F4-837F-70EB56E4C4AA}"/>
            </a:ext>
          </a:extLst>
        </xdr:cNvPr>
        <xdr:cNvSpPr txBox="1"/>
      </xdr:nvSpPr>
      <xdr:spPr>
        <a:xfrm>
          <a:off x="6686550" y="32032576"/>
          <a:ext cx="2581276" cy="285750"/>
        </a:xfrm>
        <a:prstGeom prst="rect">
          <a:avLst/>
        </a:prstGeom>
        <a:noFill/>
        <a:ln>
          <a:solidFill>
            <a:srgbClr val="C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100" b="1">
              <a:solidFill>
                <a:srgbClr val="C00000"/>
              </a:solidFill>
            </a:rPr>
            <a:t>Change description</a:t>
          </a:r>
          <a:r>
            <a:rPr lang="en-US" sz="1100" b="1" baseline="0">
              <a:solidFill>
                <a:srgbClr val="C00000"/>
              </a:solidFill>
            </a:rPr>
            <a:t> to "Start From Spool"</a:t>
          </a:r>
          <a:endParaRPr lang="en-US" sz="1100" b="1">
            <a:solidFill>
              <a:srgbClr val="C00000"/>
            </a:solidFill>
          </a:endParaRPr>
        </a:p>
      </xdr:txBody>
    </xdr:sp>
    <xdr:clientData/>
  </xdr:oneCellAnchor>
  <xdr:twoCellAnchor>
    <xdr:from>
      <xdr:col>11</xdr:col>
      <xdr:colOff>71437</xdr:colOff>
      <xdr:row>168</xdr:row>
      <xdr:rowOff>33337</xdr:rowOff>
    </xdr:from>
    <xdr:to>
      <xdr:col>11</xdr:col>
      <xdr:colOff>347662</xdr:colOff>
      <xdr:row>171</xdr:row>
      <xdr:rowOff>147636</xdr:rowOff>
    </xdr:to>
    <xdr:sp macro="" textlink="">
      <xdr:nvSpPr>
        <xdr:cNvPr id="116" name="Arrow: Right 115">
          <a:extLst>
            <a:ext uri="{FF2B5EF4-FFF2-40B4-BE49-F238E27FC236}">
              <a16:creationId xmlns:a16="http://schemas.microsoft.com/office/drawing/2014/main" id="{7E42A335-8F37-446B-B2CD-14161E77F64E}"/>
            </a:ext>
          </a:extLst>
        </xdr:cNvPr>
        <xdr:cNvSpPr/>
      </xdr:nvSpPr>
      <xdr:spPr>
        <a:xfrm rot="5400000">
          <a:off x="6153150" y="32242124"/>
          <a:ext cx="685799" cy="276225"/>
        </a:xfrm>
        <a:prstGeom prst="rightArrow">
          <a:avLst/>
        </a:prstGeom>
        <a:solidFill>
          <a:srgbClr val="C00000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0</xdr:col>
      <xdr:colOff>173183</xdr:colOff>
      <xdr:row>185</xdr:row>
      <xdr:rowOff>155864</xdr:rowOff>
    </xdr:from>
    <xdr:to>
      <xdr:col>8</xdr:col>
      <xdr:colOff>49962</xdr:colOff>
      <xdr:row>212</xdr:row>
      <xdr:rowOff>4161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D66283E-6968-5C0B-BD1C-E0543687A5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183" y="35398364"/>
          <a:ext cx="4310234" cy="4991797"/>
        </a:xfrm>
        <a:prstGeom prst="rect">
          <a:avLst/>
        </a:prstGeom>
      </xdr:spPr>
    </xdr:pic>
    <xdr:clientData/>
  </xdr:twoCellAnchor>
  <xdr:oneCellAnchor>
    <xdr:from>
      <xdr:col>2</xdr:col>
      <xdr:colOff>390524</xdr:colOff>
      <xdr:row>189</xdr:row>
      <xdr:rowOff>123826</xdr:rowOff>
    </xdr:from>
    <xdr:ext cx="1162051" cy="64770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653E162-3CC9-4C6F-A661-32CF2AB06DD8}"/>
            </a:ext>
          </a:extLst>
        </xdr:cNvPr>
        <xdr:cNvSpPr txBox="1"/>
      </xdr:nvSpPr>
      <xdr:spPr>
        <a:xfrm>
          <a:off x="1190624" y="36128326"/>
          <a:ext cx="1162051" cy="647700"/>
        </a:xfrm>
        <a:prstGeom prst="rect">
          <a:avLst/>
        </a:prstGeom>
        <a:noFill/>
        <a:ln>
          <a:solidFill>
            <a:srgbClr val="C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100" b="1">
              <a:solidFill>
                <a:srgbClr val="C00000"/>
              </a:solidFill>
            </a:rPr>
            <a:t>Add Flattening to Machine Type.</a:t>
          </a:r>
        </a:p>
      </xdr:txBody>
    </xdr:sp>
    <xdr:clientData/>
  </xdr:oneCellAnchor>
  <xdr:twoCellAnchor>
    <xdr:from>
      <xdr:col>4</xdr:col>
      <xdr:colOff>371475</xdr:colOff>
      <xdr:row>190</xdr:row>
      <xdr:rowOff>133349</xdr:rowOff>
    </xdr:from>
    <xdr:to>
      <xdr:col>5</xdr:col>
      <xdr:colOff>447674</xdr:colOff>
      <xdr:row>192</xdr:row>
      <xdr:rowOff>28574</xdr:rowOff>
    </xdr:to>
    <xdr:sp macro="" textlink="">
      <xdr:nvSpPr>
        <xdr:cNvPr id="5" name="Arrow: Right 4">
          <a:extLst>
            <a:ext uri="{FF2B5EF4-FFF2-40B4-BE49-F238E27FC236}">
              <a16:creationId xmlns:a16="http://schemas.microsoft.com/office/drawing/2014/main" id="{B1649EB8-1C08-40C2-9AEB-83EA2A07A63F}"/>
            </a:ext>
          </a:extLst>
        </xdr:cNvPr>
        <xdr:cNvSpPr/>
      </xdr:nvSpPr>
      <xdr:spPr>
        <a:xfrm>
          <a:off x="2390775" y="36328349"/>
          <a:ext cx="685799" cy="276225"/>
        </a:xfrm>
        <a:prstGeom prst="rightArrow">
          <a:avLst/>
        </a:prstGeom>
        <a:solidFill>
          <a:srgbClr val="C00000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2E5F5-DB32-4A01-93C2-75B77DB81199}">
  <sheetPr>
    <pageSetUpPr fitToPage="1"/>
  </sheetPr>
  <dimension ref="A1:M30"/>
  <sheetViews>
    <sheetView tabSelected="1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ColWidth="9.1796875" defaultRowHeight="14.5" x14ac:dyDescent="0.35"/>
  <cols>
    <col min="1" max="1" width="26.7265625" style="5" customWidth="1"/>
    <col min="2" max="2" width="8.54296875" style="2" customWidth="1"/>
    <col min="3" max="3" width="18.81640625" style="5" customWidth="1"/>
    <col min="4" max="4" width="35.54296875" style="49" bestFit="1" customWidth="1"/>
    <col min="5" max="5" width="10.1796875" style="9" bestFit="1" customWidth="1"/>
    <col min="6" max="7" width="9.453125" style="9" customWidth="1"/>
    <col min="8" max="11" width="9.54296875" style="2" customWidth="1"/>
    <col min="12" max="12" width="52" style="5" customWidth="1"/>
    <col min="13" max="13" width="44.7265625" style="32" customWidth="1"/>
    <col min="14" max="16384" width="9.1796875" style="2"/>
  </cols>
  <sheetData>
    <row r="1" spans="1:13" x14ac:dyDescent="0.35">
      <c r="A1" s="5" t="s">
        <v>74</v>
      </c>
      <c r="B1" s="2" t="s">
        <v>75</v>
      </c>
    </row>
    <row r="2" spans="1:13" s="5" customFormat="1" ht="29" x14ac:dyDescent="0.35">
      <c r="A2" s="11" t="s">
        <v>11</v>
      </c>
      <c r="B2" s="11" t="s">
        <v>132</v>
      </c>
      <c r="C2" s="11" t="s">
        <v>15</v>
      </c>
      <c r="D2" s="50" t="s">
        <v>12</v>
      </c>
      <c r="E2" s="12" t="s">
        <v>60</v>
      </c>
      <c r="F2" s="12" t="s">
        <v>78</v>
      </c>
      <c r="G2" s="12" t="s">
        <v>117</v>
      </c>
      <c r="H2" s="11" t="s">
        <v>61</v>
      </c>
      <c r="I2" s="11" t="s">
        <v>62</v>
      </c>
      <c r="J2" s="11" t="s">
        <v>63</v>
      </c>
      <c r="K2" s="11" t="s">
        <v>64</v>
      </c>
      <c r="L2" s="11" t="s">
        <v>24</v>
      </c>
      <c r="M2" s="31" t="s">
        <v>65</v>
      </c>
    </row>
    <row r="3" spans="1:13" ht="43.5" x14ac:dyDescent="0.35">
      <c r="A3" s="55" t="s">
        <v>4</v>
      </c>
      <c r="B3" s="4" t="s">
        <v>138</v>
      </c>
      <c r="C3" s="3" t="s">
        <v>14</v>
      </c>
      <c r="D3" s="51" t="s">
        <v>48</v>
      </c>
      <c r="E3" s="8">
        <v>46066</v>
      </c>
      <c r="F3" s="8"/>
      <c r="G3" s="6" t="b">
        <v>1</v>
      </c>
      <c r="H3" s="6" t="b">
        <v>0</v>
      </c>
      <c r="I3" s="6" t="b">
        <v>0</v>
      </c>
      <c r="J3" s="6" t="b">
        <v>0</v>
      </c>
      <c r="K3" s="6" t="b">
        <v>0</v>
      </c>
      <c r="L3" s="3" t="s">
        <v>26</v>
      </c>
      <c r="M3" s="33" t="s">
        <v>71</v>
      </c>
    </row>
    <row r="4" spans="1:13" x14ac:dyDescent="0.35">
      <c r="A4" s="55" t="s">
        <v>66</v>
      </c>
      <c r="B4" s="4" t="s">
        <v>133</v>
      </c>
      <c r="C4" s="3" t="s">
        <v>14</v>
      </c>
      <c r="D4" s="51" t="s">
        <v>73</v>
      </c>
      <c r="E4" s="8">
        <v>46091</v>
      </c>
      <c r="F4" s="8"/>
      <c r="G4" s="6" t="b">
        <v>1</v>
      </c>
      <c r="H4" s="6" t="b">
        <v>0</v>
      </c>
      <c r="I4" s="6" t="b">
        <v>0</v>
      </c>
      <c r="J4" s="6" t="b">
        <v>0</v>
      </c>
      <c r="K4" s="6" t="b">
        <v>0</v>
      </c>
      <c r="L4" s="3"/>
      <c r="M4" s="33"/>
    </row>
    <row r="5" spans="1:13" ht="29" x14ac:dyDescent="0.35">
      <c r="A5" s="3" t="s">
        <v>80</v>
      </c>
      <c r="B5" s="4" t="s">
        <v>133</v>
      </c>
      <c r="C5" s="3" t="s">
        <v>16</v>
      </c>
      <c r="D5" s="51" t="s">
        <v>77</v>
      </c>
      <c r="E5" s="8">
        <v>46092</v>
      </c>
      <c r="F5" s="8"/>
      <c r="G5" s="6" t="b">
        <v>0</v>
      </c>
      <c r="H5" s="6" t="b">
        <v>0</v>
      </c>
      <c r="I5" s="6" t="b">
        <v>0</v>
      </c>
      <c r="J5" s="6" t="b">
        <v>0</v>
      </c>
      <c r="K5" s="6" t="b">
        <v>0</v>
      </c>
      <c r="L5" s="3" t="s">
        <v>27</v>
      </c>
      <c r="M5" s="33"/>
    </row>
    <row r="6" spans="1:13" x14ac:dyDescent="0.35">
      <c r="A6" s="55" t="s">
        <v>17</v>
      </c>
      <c r="B6" s="4" t="s">
        <v>138</v>
      </c>
      <c r="C6" s="3" t="s">
        <v>14</v>
      </c>
      <c r="D6" s="51" t="s">
        <v>48</v>
      </c>
      <c r="E6" s="8">
        <v>46079</v>
      </c>
      <c r="F6" s="8"/>
      <c r="G6" s="6" t="b">
        <v>1</v>
      </c>
      <c r="H6" s="6" t="b">
        <v>1</v>
      </c>
      <c r="I6" s="6" t="b">
        <v>0</v>
      </c>
      <c r="J6" s="6" t="b">
        <v>0</v>
      </c>
      <c r="K6" s="6" t="b">
        <v>0</v>
      </c>
      <c r="L6" s="3" t="s">
        <v>28</v>
      </c>
      <c r="M6" s="33"/>
    </row>
    <row r="7" spans="1:13" x14ac:dyDescent="0.35">
      <c r="A7" s="56" t="s">
        <v>17</v>
      </c>
      <c r="B7" s="10"/>
      <c r="C7" s="54" t="s">
        <v>131</v>
      </c>
      <c r="D7" s="51" t="s">
        <v>130</v>
      </c>
      <c r="E7" s="8">
        <v>46085</v>
      </c>
      <c r="F7" s="8"/>
      <c r="G7" s="6" t="b">
        <v>1</v>
      </c>
      <c r="H7" s="6" t="b">
        <v>1</v>
      </c>
      <c r="I7" s="6" t="b">
        <v>0</v>
      </c>
      <c r="J7" s="6" t="b">
        <v>0</v>
      </c>
      <c r="K7" s="6" t="b">
        <v>0</v>
      </c>
      <c r="L7" s="3"/>
      <c r="M7" s="33"/>
    </row>
    <row r="8" spans="1:13" ht="29" x14ac:dyDescent="0.35">
      <c r="A8" s="55" t="s">
        <v>67</v>
      </c>
      <c r="B8" s="4" t="s">
        <v>133</v>
      </c>
      <c r="C8" s="3" t="s">
        <v>122</v>
      </c>
      <c r="D8" s="51" t="s">
        <v>48</v>
      </c>
      <c r="E8" s="8">
        <v>46086</v>
      </c>
      <c r="F8" s="8"/>
      <c r="G8" s="6" t="b">
        <v>1</v>
      </c>
      <c r="H8" s="6" t="b">
        <v>0</v>
      </c>
      <c r="I8" s="6" t="b">
        <v>0</v>
      </c>
      <c r="J8" s="6" t="b">
        <v>0</v>
      </c>
      <c r="K8" s="6" t="b">
        <v>0</v>
      </c>
      <c r="L8" s="3" t="s">
        <v>68</v>
      </c>
      <c r="M8" s="33" t="s">
        <v>69</v>
      </c>
    </row>
    <row r="9" spans="1:13" ht="72.5" x14ac:dyDescent="0.35">
      <c r="A9" s="55" t="s">
        <v>116</v>
      </c>
      <c r="B9" s="3" t="s">
        <v>139</v>
      </c>
      <c r="C9" s="3" t="s">
        <v>19</v>
      </c>
      <c r="D9" s="51" t="s">
        <v>79</v>
      </c>
      <c r="E9" s="8">
        <v>46106</v>
      </c>
      <c r="F9" s="8"/>
      <c r="G9" s="6" t="b">
        <v>1</v>
      </c>
      <c r="H9" s="6" t="b">
        <v>0</v>
      </c>
      <c r="I9" s="6" t="b">
        <v>0</v>
      </c>
      <c r="J9" s="6" t="b">
        <v>0</v>
      </c>
      <c r="K9" s="6" t="b">
        <v>0</v>
      </c>
      <c r="L9" s="3"/>
      <c r="M9" s="33"/>
    </row>
    <row r="10" spans="1:13" x14ac:dyDescent="0.35">
      <c r="A10" s="55" t="s">
        <v>0</v>
      </c>
      <c r="B10" s="4" t="s">
        <v>140</v>
      </c>
      <c r="C10" s="3" t="s">
        <v>19</v>
      </c>
      <c r="D10" s="51" t="s">
        <v>49</v>
      </c>
      <c r="E10" s="8">
        <v>46090</v>
      </c>
      <c r="F10" s="8"/>
      <c r="G10" s="6" t="b">
        <v>1</v>
      </c>
      <c r="H10" s="6" t="b">
        <v>1</v>
      </c>
      <c r="I10" s="6" t="b">
        <v>0</v>
      </c>
      <c r="J10" s="6" t="b">
        <v>0</v>
      </c>
      <c r="K10" s="6" t="b">
        <v>0</v>
      </c>
      <c r="L10" s="3" t="s">
        <v>25</v>
      </c>
      <c r="M10" s="33"/>
    </row>
    <row r="11" spans="1:13" x14ac:dyDescent="0.35">
      <c r="A11" s="55" t="s">
        <v>1</v>
      </c>
      <c r="B11" s="4" t="s">
        <v>140</v>
      </c>
      <c r="C11" s="3" t="s">
        <v>19</v>
      </c>
      <c r="D11" s="51" t="s">
        <v>49</v>
      </c>
      <c r="E11" s="8">
        <v>46090</v>
      </c>
      <c r="F11" s="8"/>
      <c r="G11" s="6" t="b">
        <v>1</v>
      </c>
      <c r="H11" s="6" t="b">
        <v>1</v>
      </c>
      <c r="I11" s="6" t="b">
        <v>0</v>
      </c>
      <c r="J11" s="6" t="b">
        <v>0</v>
      </c>
      <c r="K11" s="6" t="b">
        <v>0</v>
      </c>
      <c r="L11" s="3" t="s">
        <v>25</v>
      </c>
      <c r="M11" s="33"/>
    </row>
    <row r="12" spans="1:13" ht="29" x14ac:dyDescent="0.35">
      <c r="A12" s="55" t="s">
        <v>34</v>
      </c>
      <c r="B12" s="4" t="s">
        <v>140</v>
      </c>
      <c r="C12" s="3" t="s">
        <v>19</v>
      </c>
      <c r="D12" s="51" t="s">
        <v>81</v>
      </c>
      <c r="E12" s="8">
        <v>46087</v>
      </c>
      <c r="F12" s="8"/>
      <c r="G12" s="6" t="b">
        <v>1</v>
      </c>
      <c r="H12" s="6" t="b">
        <v>1</v>
      </c>
      <c r="I12" s="6" t="b">
        <v>0</v>
      </c>
      <c r="J12" s="6" t="b">
        <v>0</v>
      </c>
      <c r="K12" s="6" t="b">
        <v>0</v>
      </c>
      <c r="L12" s="3" t="s">
        <v>25</v>
      </c>
      <c r="M12" s="33" t="s">
        <v>118</v>
      </c>
    </row>
    <row r="13" spans="1:13" x14ac:dyDescent="0.35">
      <c r="A13" s="55" t="s">
        <v>123</v>
      </c>
      <c r="B13" s="4" t="s">
        <v>140</v>
      </c>
      <c r="C13" s="3" t="s">
        <v>19</v>
      </c>
      <c r="D13" s="51" t="s">
        <v>124</v>
      </c>
      <c r="E13" s="8">
        <v>46120</v>
      </c>
      <c r="F13" s="8"/>
      <c r="G13" s="6" t="b">
        <v>1</v>
      </c>
      <c r="H13" s="6" t="b">
        <v>0</v>
      </c>
      <c r="I13" s="6" t="b">
        <v>0</v>
      </c>
      <c r="J13" s="6" t="b">
        <v>0</v>
      </c>
      <c r="K13" s="6" t="b">
        <v>0</v>
      </c>
      <c r="L13" s="3"/>
      <c r="M13" s="33"/>
    </row>
    <row r="14" spans="1:13" ht="29" x14ac:dyDescent="0.35">
      <c r="A14" s="55" t="s">
        <v>35</v>
      </c>
      <c r="B14" s="4" t="s">
        <v>140</v>
      </c>
      <c r="C14" s="3" t="s">
        <v>19</v>
      </c>
      <c r="D14" s="51" t="s">
        <v>81</v>
      </c>
      <c r="E14" s="8">
        <v>46087</v>
      </c>
      <c r="F14" s="8"/>
      <c r="G14" s="6" t="b">
        <v>1</v>
      </c>
      <c r="H14" s="6" t="b">
        <v>0</v>
      </c>
      <c r="I14" s="6" t="b">
        <v>0</v>
      </c>
      <c r="J14" s="6" t="b">
        <v>0</v>
      </c>
      <c r="K14" s="6" t="b">
        <v>0</v>
      </c>
      <c r="L14" s="3" t="s">
        <v>36</v>
      </c>
      <c r="M14" s="33" t="s">
        <v>119</v>
      </c>
    </row>
    <row r="15" spans="1:13" ht="72.5" x14ac:dyDescent="0.35">
      <c r="A15" s="55" t="s">
        <v>18</v>
      </c>
      <c r="B15" s="3" t="s">
        <v>141</v>
      </c>
      <c r="C15" s="3" t="s">
        <v>19</v>
      </c>
      <c r="D15" s="51" t="s">
        <v>50</v>
      </c>
      <c r="E15" s="8">
        <v>46106</v>
      </c>
      <c r="F15" s="8"/>
      <c r="G15" s="6" t="b">
        <v>1</v>
      </c>
      <c r="H15" s="6" t="b">
        <v>1</v>
      </c>
      <c r="I15" s="6" t="b">
        <v>0</v>
      </c>
      <c r="J15" s="6" t="b">
        <v>0</v>
      </c>
      <c r="K15" s="6" t="b">
        <v>0</v>
      </c>
      <c r="L15" s="3" t="s">
        <v>29</v>
      </c>
      <c r="M15" s="33"/>
    </row>
    <row r="16" spans="1:13" ht="29" x14ac:dyDescent="0.35">
      <c r="A16" s="55" t="s">
        <v>30</v>
      </c>
      <c r="B16" s="4" t="s">
        <v>138</v>
      </c>
      <c r="C16" s="3" t="s">
        <v>19</v>
      </c>
      <c r="D16" s="51" t="s">
        <v>51</v>
      </c>
      <c r="E16" s="8">
        <v>46087</v>
      </c>
      <c r="F16" s="8"/>
      <c r="G16" s="6" t="b">
        <v>1</v>
      </c>
      <c r="H16" s="6" t="b">
        <v>0</v>
      </c>
      <c r="I16" s="6" t="b">
        <v>0</v>
      </c>
      <c r="J16" s="6" t="b">
        <v>0</v>
      </c>
      <c r="K16" s="6" t="b">
        <v>0</v>
      </c>
      <c r="L16" s="3" t="s">
        <v>31</v>
      </c>
      <c r="M16" s="33" t="s">
        <v>120</v>
      </c>
    </row>
    <row r="17" spans="1:13" ht="29" x14ac:dyDescent="0.35">
      <c r="A17" s="55" t="s">
        <v>2</v>
      </c>
      <c r="B17" s="4" t="s">
        <v>134</v>
      </c>
      <c r="C17" s="3" t="s">
        <v>20</v>
      </c>
      <c r="D17" s="51" t="s">
        <v>72</v>
      </c>
      <c r="E17" s="8" t="s">
        <v>82</v>
      </c>
      <c r="F17" s="8"/>
      <c r="G17" s="6" t="b">
        <v>0</v>
      </c>
      <c r="H17" s="6" t="b">
        <v>0</v>
      </c>
      <c r="I17" s="6" t="b">
        <v>0</v>
      </c>
      <c r="J17" s="6" t="b">
        <v>0</v>
      </c>
      <c r="K17" s="6" t="b">
        <v>0</v>
      </c>
      <c r="L17" s="3" t="s">
        <v>32</v>
      </c>
      <c r="M17" s="33" t="s">
        <v>106</v>
      </c>
    </row>
    <row r="18" spans="1:13" ht="87" x14ac:dyDescent="0.35">
      <c r="A18" s="57" t="s">
        <v>5</v>
      </c>
      <c r="B18" s="3" t="s">
        <v>142</v>
      </c>
      <c r="C18" s="3" t="s">
        <v>19</v>
      </c>
      <c r="D18" s="51" t="s">
        <v>104</v>
      </c>
      <c r="E18" s="8" t="s">
        <v>82</v>
      </c>
      <c r="F18" s="8"/>
      <c r="G18" s="6" t="b">
        <v>0</v>
      </c>
      <c r="H18" s="6" t="b">
        <v>0</v>
      </c>
      <c r="I18" s="6" t="b">
        <v>0</v>
      </c>
      <c r="J18" s="6" t="b">
        <v>0</v>
      </c>
      <c r="K18" s="6" t="b">
        <v>0</v>
      </c>
      <c r="L18" s="3" t="s">
        <v>33</v>
      </c>
      <c r="M18" s="33" t="s">
        <v>109</v>
      </c>
    </row>
    <row r="19" spans="1:13" x14ac:dyDescent="0.35">
      <c r="A19" s="55" t="s">
        <v>6</v>
      </c>
      <c r="B19" s="4" t="s">
        <v>140</v>
      </c>
      <c r="C19" s="3" t="s">
        <v>19</v>
      </c>
      <c r="D19" s="51" t="s">
        <v>129</v>
      </c>
      <c r="E19" s="8">
        <v>46126</v>
      </c>
      <c r="F19" s="8"/>
      <c r="G19" s="6" t="b">
        <v>0</v>
      </c>
      <c r="H19" s="6" t="b">
        <v>0</v>
      </c>
      <c r="I19" s="6" t="b">
        <v>0</v>
      </c>
      <c r="J19" s="6" t="b">
        <v>0</v>
      </c>
      <c r="K19" s="6" t="b">
        <v>0</v>
      </c>
      <c r="L19" s="3" t="s">
        <v>37</v>
      </c>
      <c r="M19" s="33" t="s">
        <v>121</v>
      </c>
    </row>
    <row r="20" spans="1:13" ht="29" x14ac:dyDescent="0.35">
      <c r="A20" s="55" t="s">
        <v>7</v>
      </c>
      <c r="B20" s="4" t="s">
        <v>140</v>
      </c>
      <c r="C20" s="3" t="s">
        <v>19</v>
      </c>
      <c r="D20" s="51" t="s">
        <v>47</v>
      </c>
      <c r="E20" s="8">
        <v>46105</v>
      </c>
      <c r="F20" s="8"/>
      <c r="G20" s="6" t="b">
        <v>1</v>
      </c>
      <c r="H20" s="6" t="b">
        <v>1</v>
      </c>
      <c r="I20" s="6" t="b">
        <v>0</v>
      </c>
      <c r="J20" s="6" t="b">
        <v>0</v>
      </c>
      <c r="K20" s="6" t="b">
        <v>0</v>
      </c>
      <c r="L20" s="3" t="s">
        <v>38</v>
      </c>
      <c r="M20" s="33"/>
    </row>
    <row r="21" spans="1:13" ht="29" x14ac:dyDescent="0.35">
      <c r="A21" s="57" t="s">
        <v>3</v>
      </c>
      <c r="B21" s="4" t="s">
        <v>135</v>
      </c>
      <c r="C21" s="3" t="s">
        <v>131</v>
      </c>
      <c r="D21" s="51" t="s">
        <v>52</v>
      </c>
      <c r="E21" s="8">
        <v>46107</v>
      </c>
      <c r="F21" s="8"/>
      <c r="G21" s="6" t="b">
        <v>0</v>
      </c>
      <c r="H21" s="6" t="b">
        <v>0</v>
      </c>
      <c r="I21" s="6" t="b">
        <v>0</v>
      </c>
      <c r="J21" s="6" t="b">
        <v>0</v>
      </c>
      <c r="K21" s="6" t="b">
        <v>0</v>
      </c>
      <c r="L21" s="3" t="s">
        <v>39</v>
      </c>
      <c r="M21" s="33"/>
    </row>
    <row r="22" spans="1:13" ht="29" x14ac:dyDescent="0.35">
      <c r="A22" s="55" t="s">
        <v>40</v>
      </c>
      <c r="B22" s="4" t="s">
        <v>140</v>
      </c>
      <c r="C22" s="3" t="s">
        <v>20</v>
      </c>
      <c r="D22" s="51" t="s">
        <v>76</v>
      </c>
      <c r="E22" s="8">
        <v>46085</v>
      </c>
      <c r="F22" s="8"/>
      <c r="G22" s="6" t="b">
        <v>1</v>
      </c>
      <c r="H22" s="6" t="b">
        <v>1</v>
      </c>
      <c r="I22" s="6" t="b">
        <v>0</v>
      </c>
      <c r="J22" s="6" t="b">
        <v>0</v>
      </c>
      <c r="K22" s="6" t="b">
        <v>0</v>
      </c>
      <c r="L22" s="3" t="s">
        <v>41</v>
      </c>
      <c r="M22" s="33"/>
    </row>
    <row r="23" spans="1:13" ht="29" x14ac:dyDescent="0.35">
      <c r="A23" s="55" t="s">
        <v>42</v>
      </c>
      <c r="B23" s="4" t="s">
        <v>134</v>
      </c>
      <c r="C23" s="3" t="s">
        <v>20</v>
      </c>
      <c r="D23" s="51" t="s">
        <v>53</v>
      </c>
      <c r="E23" s="8">
        <v>46086</v>
      </c>
      <c r="F23" s="8"/>
      <c r="G23" s="6" t="b">
        <v>1</v>
      </c>
      <c r="H23" s="6" t="b">
        <v>1</v>
      </c>
      <c r="I23" s="6" t="b">
        <v>0</v>
      </c>
      <c r="J23" s="6" t="b">
        <v>0</v>
      </c>
      <c r="K23" s="6" t="b">
        <v>0</v>
      </c>
      <c r="L23" s="3" t="s">
        <v>43</v>
      </c>
      <c r="M23" s="33"/>
    </row>
    <row r="24" spans="1:13" ht="29" x14ac:dyDescent="0.35">
      <c r="A24" s="55" t="s">
        <v>8</v>
      </c>
      <c r="B24" s="4" t="s">
        <v>134</v>
      </c>
      <c r="C24" s="3" t="s">
        <v>131</v>
      </c>
      <c r="D24" s="51" t="s">
        <v>54</v>
      </c>
      <c r="E24" s="8">
        <v>46086</v>
      </c>
      <c r="F24" s="8"/>
      <c r="G24" s="6" t="b">
        <v>1</v>
      </c>
      <c r="H24" s="6" t="b">
        <v>1</v>
      </c>
      <c r="I24" s="6" t="b">
        <v>0</v>
      </c>
      <c r="J24" s="6" t="b">
        <v>0</v>
      </c>
      <c r="K24" s="6" t="b">
        <v>0</v>
      </c>
      <c r="L24" s="3" t="s">
        <v>44</v>
      </c>
      <c r="M24" s="33"/>
    </row>
    <row r="25" spans="1:13" x14ac:dyDescent="0.35">
      <c r="A25" s="55" t="s">
        <v>45</v>
      </c>
      <c r="B25" s="4" t="s">
        <v>134</v>
      </c>
      <c r="C25" s="3" t="s">
        <v>19</v>
      </c>
      <c r="D25" s="51" t="s">
        <v>55</v>
      </c>
      <c r="E25" s="8">
        <v>46108</v>
      </c>
      <c r="F25" s="8"/>
      <c r="G25" s="6" t="b">
        <v>1</v>
      </c>
      <c r="H25" s="52"/>
      <c r="I25" s="52"/>
      <c r="J25" s="52"/>
      <c r="K25" s="52"/>
      <c r="L25" s="3" t="s">
        <v>46</v>
      </c>
      <c r="M25" s="33"/>
    </row>
    <row r="26" spans="1:13" x14ac:dyDescent="0.35">
      <c r="A26" s="57" t="s">
        <v>9</v>
      </c>
      <c r="B26" s="4" t="s">
        <v>70</v>
      </c>
      <c r="C26" s="3" t="s">
        <v>20</v>
      </c>
      <c r="D26" s="51" t="s">
        <v>56</v>
      </c>
      <c r="E26" s="53" t="s">
        <v>70</v>
      </c>
      <c r="F26" s="8"/>
      <c r="G26" s="6" t="b">
        <v>0</v>
      </c>
      <c r="H26" s="6" t="b">
        <v>0</v>
      </c>
      <c r="I26" s="6" t="b">
        <v>0</v>
      </c>
      <c r="J26" s="6" t="b">
        <v>0</v>
      </c>
      <c r="K26" s="6" t="b">
        <v>0</v>
      </c>
      <c r="L26" s="3" t="s">
        <v>105</v>
      </c>
      <c r="M26" s="33" t="s">
        <v>108</v>
      </c>
    </row>
    <row r="27" spans="1:13" ht="29" x14ac:dyDescent="0.35">
      <c r="A27" s="57" t="s">
        <v>10</v>
      </c>
      <c r="B27" s="4" t="s">
        <v>70</v>
      </c>
      <c r="C27" s="3" t="s">
        <v>21</v>
      </c>
      <c r="D27" s="51" t="s">
        <v>83</v>
      </c>
      <c r="E27" s="8" t="s">
        <v>82</v>
      </c>
      <c r="F27" s="8"/>
      <c r="G27" s="6" t="b">
        <v>0</v>
      </c>
      <c r="H27" s="6" t="b">
        <v>0</v>
      </c>
      <c r="I27" s="6" t="b">
        <v>0</v>
      </c>
      <c r="J27" s="6" t="b">
        <v>0</v>
      </c>
      <c r="K27" s="6" t="b">
        <v>0</v>
      </c>
      <c r="L27" s="3" t="s">
        <v>13</v>
      </c>
      <c r="M27" s="33" t="s">
        <v>107</v>
      </c>
    </row>
    <row r="28" spans="1:13" ht="43.5" x14ac:dyDescent="0.35">
      <c r="A28" s="55" t="s">
        <v>136</v>
      </c>
      <c r="B28" s="4" t="s">
        <v>138</v>
      </c>
      <c r="C28" s="3" t="s">
        <v>19</v>
      </c>
      <c r="D28" s="51" t="s">
        <v>57</v>
      </c>
      <c r="E28" s="8">
        <v>46108</v>
      </c>
      <c r="F28" s="8"/>
      <c r="G28" s="6" t="b">
        <v>0</v>
      </c>
      <c r="H28" s="6" t="b">
        <v>0</v>
      </c>
      <c r="I28" s="6" t="b">
        <v>0</v>
      </c>
      <c r="J28" s="6" t="b">
        <v>0</v>
      </c>
      <c r="K28" s="6" t="b">
        <v>0</v>
      </c>
      <c r="L28" s="33"/>
      <c r="M28" s="33"/>
    </row>
    <row r="29" spans="1:13" x14ac:dyDescent="0.35">
      <c r="A29" s="55" t="s">
        <v>22</v>
      </c>
      <c r="B29" s="4" t="s">
        <v>137</v>
      </c>
      <c r="C29" s="3" t="s">
        <v>19</v>
      </c>
      <c r="D29" s="51" t="s">
        <v>58</v>
      </c>
      <c r="E29" s="7">
        <v>46111</v>
      </c>
      <c r="F29" s="7"/>
      <c r="G29" s="1" t="b">
        <v>1</v>
      </c>
      <c r="H29" s="1" t="b">
        <v>0</v>
      </c>
      <c r="I29" s="1" t="b">
        <v>0</v>
      </c>
      <c r="J29" s="1" t="b">
        <v>0</v>
      </c>
      <c r="K29" s="1" t="b">
        <v>0</v>
      </c>
      <c r="L29" s="30"/>
      <c r="M29" s="33"/>
    </row>
    <row r="30" spans="1:13" x14ac:dyDescent="0.35">
      <c r="A30" s="55" t="s">
        <v>23</v>
      </c>
      <c r="B30" s="4" t="s">
        <v>138</v>
      </c>
      <c r="C30" s="3" t="s">
        <v>122</v>
      </c>
      <c r="D30" s="51" t="s">
        <v>59</v>
      </c>
      <c r="E30" s="7">
        <v>46108</v>
      </c>
      <c r="F30" s="7"/>
      <c r="G30" s="1" t="b">
        <v>0</v>
      </c>
      <c r="H30" s="1" t="b">
        <v>0</v>
      </c>
      <c r="I30" s="1" t="b">
        <v>0</v>
      </c>
      <c r="J30" s="1" t="b">
        <v>0</v>
      </c>
      <c r="K30" s="1" t="b">
        <v>0</v>
      </c>
      <c r="L30" s="30"/>
      <c r="M30" s="33"/>
    </row>
  </sheetData>
  <autoFilter ref="A2:M30" xr:uid="{2792E5F5-DB32-4A01-93C2-75B77DB81199}"/>
  <conditionalFormatting sqref="C3:C30">
    <cfRule type="expression" dxfId="5" priority="1">
      <formula>OR(C3="Shopfloor/Web", C3="UA Icon/Web")</formula>
    </cfRule>
    <cfRule type="expression" dxfId="4" priority="6">
      <formula>C3="UA Icon"</formula>
    </cfRule>
    <cfRule type="expression" dxfId="3" priority="7">
      <formula>C3="Shopfloor"</formula>
    </cfRule>
    <cfRule type="expression" dxfId="2" priority="8">
      <formula>C3="Web"</formula>
    </cfRule>
  </conditionalFormatting>
  <conditionalFormatting sqref="E3:E30">
    <cfRule type="expression" dxfId="1" priority="9">
      <formula>E3&lt;TODAY()</formula>
    </cfRule>
  </conditionalFormatting>
  <conditionalFormatting sqref="G3:K30">
    <cfRule type="expression" dxfId="0" priority="10">
      <formula>G3=TRUE</formula>
    </cfRule>
  </conditionalFormatting>
  <pageMargins left="0.25" right="0.25" top="0.75" bottom="0.75" header="0.3" footer="0.3"/>
  <pageSetup scale="52" fitToHeight="0" orientation="landscape" r:id="rId1"/>
  <headerFooter>
    <oddFooter>&amp;CUnited Aluminum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48137-E360-4759-8EFD-FE895A7F6F10}">
  <dimension ref="D3:V19"/>
  <sheetViews>
    <sheetView topLeftCell="B1" zoomScale="90" zoomScaleNormal="90" workbookViewId="0">
      <selection activeCell="E36" sqref="E36"/>
    </sheetView>
  </sheetViews>
  <sheetFormatPr defaultRowHeight="14.5" x14ac:dyDescent="0.35"/>
  <cols>
    <col min="5" max="6" width="13.81640625" bestFit="1" customWidth="1"/>
    <col min="7" max="7" width="13.54296875" bestFit="1" customWidth="1"/>
    <col min="8" max="8" width="13.26953125" bestFit="1" customWidth="1"/>
    <col min="9" max="9" width="13.26953125" customWidth="1"/>
    <col min="10" max="10" width="2.26953125" customWidth="1"/>
    <col min="12" max="12" width="2.26953125" customWidth="1"/>
    <col min="13" max="13" width="14.1796875" customWidth="1"/>
    <col min="14" max="14" width="13.54296875" bestFit="1" customWidth="1"/>
    <col min="15" max="15" width="13.26953125" bestFit="1" customWidth="1"/>
    <col min="16" max="16" width="13.54296875" bestFit="1" customWidth="1"/>
    <col min="17" max="17" width="13.26953125" bestFit="1" customWidth="1"/>
    <col min="18" max="18" width="11.1796875" bestFit="1" customWidth="1"/>
    <col min="19" max="19" width="12.26953125" bestFit="1" customWidth="1"/>
    <col min="20" max="20" width="13.26953125" bestFit="1" customWidth="1"/>
    <col min="21" max="21" width="11.1796875" bestFit="1" customWidth="1"/>
    <col min="22" max="22" width="11.1796875" customWidth="1"/>
    <col min="23" max="23" width="2.26953125" customWidth="1"/>
  </cols>
  <sheetData>
    <row r="3" spans="4:22" ht="15" thickBot="1" x14ac:dyDescent="0.4"/>
    <row r="4" spans="4:22" s="20" customFormat="1" x14ac:dyDescent="0.35">
      <c r="D4" s="64" t="s">
        <v>91</v>
      </c>
      <c r="E4" s="65"/>
      <c r="F4" s="65"/>
      <c r="G4" s="65"/>
      <c r="H4" s="66"/>
      <c r="I4" s="19"/>
      <c r="J4" s="67" t="s">
        <v>95</v>
      </c>
      <c r="K4" s="68"/>
      <c r="L4" s="69"/>
      <c r="M4" s="35"/>
      <c r="N4" s="73" t="s">
        <v>90</v>
      </c>
      <c r="O4" s="74"/>
      <c r="P4" s="74"/>
      <c r="Q4" s="74"/>
      <c r="R4" s="74"/>
      <c r="S4" s="74"/>
      <c r="T4" s="74"/>
      <c r="U4" s="75"/>
      <c r="V4" s="40"/>
    </row>
    <row r="5" spans="4:22" s="17" customFormat="1" ht="15" thickBot="1" x14ac:dyDescent="0.4">
      <c r="D5" s="21" t="s">
        <v>94</v>
      </c>
      <c r="E5" s="22" t="s">
        <v>92</v>
      </c>
      <c r="F5" s="23" t="s">
        <v>93</v>
      </c>
      <c r="G5" s="76" t="s">
        <v>86</v>
      </c>
      <c r="H5" s="77"/>
      <c r="I5" s="39" t="s">
        <v>114</v>
      </c>
      <c r="J5" s="70"/>
      <c r="K5" s="71"/>
      <c r="L5" s="72"/>
      <c r="M5" s="36" t="s">
        <v>115</v>
      </c>
      <c r="N5" s="78" t="s">
        <v>87</v>
      </c>
      <c r="O5" s="79"/>
      <c r="P5" s="80" t="s">
        <v>88</v>
      </c>
      <c r="Q5" s="80"/>
      <c r="R5" s="82" t="s">
        <v>101</v>
      </c>
      <c r="S5" s="81" t="s">
        <v>89</v>
      </c>
      <c r="T5" s="81"/>
      <c r="U5" s="25" t="s">
        <v>101</v>
      </c>
      <c r="V5" s="41"/>
    </row>
    <row r="6" spans="4:22" s="17" customFormat="1" x14ac:dyDescent="0.35">
      <c r="D6" s="26" t="s">
        <v>96</v>
      </c>
      <c r="E6" s="27" t="s">
        <v>98</v>
      </c>
      <c r="F6" s="28" t="s">
        <v>97</v>
      </c>
      <c r="G6" s="26" t="s">
        <v>102</v>
      </c>
      <c r="H6" s="29" t="s">
        <v>100</v>
      </c>
      <c r="I6" s="38"/>
      <c r="J6" s="58" t="s">
        <v>84</v>
      </c>
      <c r="K6" s="59"/>
      <c r="L6" s="60"/>
      <c r="M6" s="37"/>
      <c r="N6" s="26" t="s">
        <v>102</v>
      </c>
      <c r="O6" s="29" t="s">
        <v>100</v>
      </c>
      <c r="P6" s="26" t="s">
        <v>102</v>
      </c>
      <c r="Q6" s="29" t="s">
        <v>100</v>
      </c>
      <c r="R6" s="27" t="s">
        <v>85</v>
      </c>
      <c r="S6" s="26" t="s">
        <v>99</v>
      </c>
      <c r="T6" s="29" t="s">
        <v>100</v>
      </c>
      <c r="U6" s="29" t="s">
        <v>85</v>
      </c>
    </row>
    <row r="7" spans="4:22" ht="15" thickBot="1" x14ac:dyDescent="0.4">
      <c r="D7" s="13">
        <v>0.375</v>
      </c>
      <c r="E7" s="15">
        <v>0.35</v>
      </c>
      <c r="F7" s="16">
        <v>0.28100000000000003</v>
      </c>
      <c r="G7" s="13">
        <v>0.1</v>
      </c>
      <c r="H7" s="14">
        <v>0.67500000000000004</v>
      </c>
      <c r="I7" s="34"/>
      <c r="J7" s="61"/>
      <c r="K7" s="62"/>
      <c r="L7" s="63"/>
      <c r="M7" s="18"/>
      <c r="N7" s="13"/>
      <c r="O7" s="14"/>
      <c r="P7" s="13"/>
      <c r="Q7" s="14"/>
      <c r="R7" s="15"/>
      <c r="S7" s="13">
        <v>1.6E-2</v>
      </c>
      <c r="T7" s="14">
        <v>0.69899999999999995</v>
      </c>
      <c r="U7" s="14"/>
    </row>
    <row r="9" spans="4:22" ht="15" thickBot="1" x14ac:dyDescent="0.4"/>
    <row r="10" spans="4:22" x14ac:dyDescent="0.35">
      <c r="D10" s="64" t="s">
        <v>91</v>
      </c>
      <c r="E10" s="65"/>
      <c r="F10" s="65"/>
      <c r="G10" s="65"/>
      <c r="H10" s="66"/>
      <c r="I10" s="19"/>
      <c r="J10" s="67" t="s">
        <v>95</v>
      </c>
      <c r="K10" s="68"/>
      <c r="L10" s="69"/>
      <c r="M10" s="35"/>
      <c r="N10" s="73" t="s">
        <v>90</v>
      </c>
      <c r="O10" s="74"/>
      <c r="P10" s="74"/>
      <c r="Q10" s="74"/>
      <c r="R10" s="74"/>
      <c r="S10" s="74"/>
      <c r="T10" s="74"/>
      <c r="U10" s="75"/>
      <c r="V10" s="40"/>
    </row>
    <row r="11" spans="4:22" ht="15" thickBot="1" x14ac:dyDescent="0.4">
      <c r="D11" s="21" t="s">
        <v>94</v>
      </c>
      <c r="E11" s="22" t="s">
        <v>92</v>
      </c>
      <c r="F11" s="23" t="s">
        <v>93</v>
      </c>
      <c r="G11" s="76" t="s">
        <v>86</v>
      </c>
      <c r="H11" s="77"/>
      <c r="I11" s="39"/>
      <c r="J11" s="70"/>
      <c r="K11" s="71"/>
      <c r="L11" s="72"/>
      <c r="M11" s="36" t="s">
        <v>115</v>
      </c>
      <c r="N11" s="78" t="s">
        <v>87</v>
      </c>
      <c r="O11" s="79"/>
      <c r="P11" s="80" t="s">
        <v>88</v>
      </c>
      <c r="Q11" s="80"/>
      <c r="R11" s="24" t="s">
        <v>101</v>
      </c>
      <c r="S11" s="81" t="s">
        <v>89</v>
      </c>
      <c r="T11" s="81"/>
      <c r="U11" s="25" t="s">
        <v>101</v>
      </c>
      <c r="V11" s="41"/>
    </row>
    <row r="12" spans="4:22" x14ac:dyDescent="0.35">
      <c r="D12" s="26" t="s">
        <v>96</v>
      </c>
      <c r="E12" s="27" t="s">
        <v>110</v>
      </c>
      <c r="F12" s="27" t="s">
        <v>110</v>
      </c>
      <c r="G12" s="26" t="s">
        <v>103</v>
      </c>
      <c r="H12" s="29" t="s">
        <v>100</v>
      </c>
      <c r="I12" s="38"/>
      <c r="J12" s="58" t="s">
        <v>84</v>
      </c>
      <c r="K12" s="59"/>
      <c r="L12" s="60"/>
      <c r="M12" s="37"/>
      <c r="N12" s="26" t="s">
        <v>103</v>
      </c>
      <c r="O12" s="29" t="s">
        <v>100</v>
      </c>
      <c r="P12" s="26" t="s">
        <v>103</v>
      </c>
      <c r="Q12" s="29" t="s">
        <v>100</v>
      </c>
      <c r="R12" s="27" t="s">
        <v>85</v>
      </c>
      <c r="S12" s="26" t="s">
        <v>103</v>
      </c>
      <c r="T12" s="29" t="s">
        <v>100</v>
      </c>
      <c r="U12" s="29" t="s">
        <v>85</v>
      </c>
      <c r="V12" s="17"/>
    </row>
    <row r="13" spans="4:22" ht="15" thickBot="1" x14ac:dyDescent="0.4">
      <c r="D13" s="13">
        <v>0.375</v>
      </c>
      <c r="E13" s="15">
        <v>0.35</v>
      </c>
      <c r="F13" s="16">
        <v>0.28100000000000003</v>
      </c>
      <c r="G13" s="13">
        <v>0.1</v>
      </c>
      <c r="H13" s="14">
        <v>0.67500000000000004</v>
      </c>
      <c r="I13" s="34"/>
      <c r="J13" s="61"/>
      <c r="K13" s="62"/>
      <c r="L13" s="63"/>
      <c r="M13" s="18"/>
      <c r="N13" s="13"/>
      <c r="O13" s="14"/>
      <c r="P13" s="13"/>
      <c r="Q13" s="14"/>
      <c r="R13" s="15"/>
      <c r="S13" s="13">
        <v>1.6E-2</v>
      </c>
      <c r="T13" s="14">
        <v>0.69899999999999995</v>
      </c>
      <c r="U13" s="14"/>
    </row>
    <row r="15" spans="4:22" x14ac:dyDescent="0.35">
      <c r="H15" t="s">
        <v>111</v>
      </c>
    </row>
    <row r="17" spans="8:8" x14ac:dyDescent="0.35">
      <c r="H17" t="s">
        <v>112</v>
      </c>
    </row>
    <row r="19" spans="8:8" x14ac:dyDescent="0.35">
      <c r="H19" t="s">
        <v>113</v>
      </c>
    </row>
  </sheetData>
  <mergeCells count="17">
    <mergeCell ref="N4:U4"/>
    <mergeCell ref="J6:L7"/>
    <mergeCell ref="G5:H5"/>
    <mergeCell ref="N5:O5"/>
    <mergeCell ref="P5:Q5"/>
    <mergeCell ref="S5:T5"/>
    <mergeCell ref="D4:H4"/>
    <mergeCell ref="J4:L5"/>
    <mergeCell ref="R5"/>
    <mergeCell ref="J12:L13"/>
    <mergeCell ref="D10:H10"/>
    <mergeCell ref="J10:L11"/>
    <mergeCell ref="N10:U10"/>
    <mergeCell ref="G11:H11"/>
    <mergeCell ref="N11:O11"/>
    <mergeCell ref="P11:Q11"/>
    <mergeCell ref="S11:T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070FC-D2BE-4BC4-A9D1-52ADEBE2452D}">
  <dimension ref="B2:H8"/>
  <sheetViews>
    <sheetView workbookViewId="0">
      <selection activeCell="C18" sqref="C18"/>
    </sheetView>
  </sheetViews>
  <sheetFormatPr defaultRowHeight="14.5" x14ac:dyDescent="0.35"/>
  <sheetData>
    <row r="2" spans="2:8" ht="15" thickBot="1" x14ac:dyDescent="0.4"/>
    <row r="3" spans="2:8" x14ac:dyDescent="0.35">
      <c r="B3" s="42"/>
      <c r="C3" s="43"/>
      <c r="D3" s="43"/>
      <c r="E3" s="43"/>
      <c r="F3" s="43"/>
      <c r="G3" s="43"/>
      <c r="H3" s="44"/>
    </row>
    <row r="4" spans="2:8" x14ac:dyDescent="0.35">
      <c r="B4" s="45"/>
      <c r="C4" t="s">
        <v>125</v>
      </c>
      <c r="D4" t="s">
        <v>126</v>
      </c>
      <c r="E4" t="s">
        <v>127</v>
      </c>
      <c r="F4" t="s">
        <v>128</v>
      </c>
      <c r="H4" s="46"/>
    </row>
    <row r="5" spans="2:8" x14ac:dyDescent="0.35">
      <c r="B5" s="45"/>
      <c r="C5">
        <v>1000</v>
      </c>
      <c r="D5">
        <v>1</v>
      </c>
      <c r="E5">
        <f>C5/(D5*60)</f>
        <v>16.666666666666668</v>
      </c>
      <c r="F5">
        <v>10</v>
      </c>
      <c r="G5">
        <f>F5*E5</f>
        <v>166.66666666666669</v>
      </c>
      <c r="H5" s="46"/>
    </row>
    <row r="6" spans="2:8" x14ac:dyDescent="0.35">
      <c r="B6" s="45"/>
      <c r="C6">
        <v>1250</v>
      </c>
      <c r="D6">
        <v>1</v>
      </c>
      <c r="E6">
        <f>C6/(D6*60)</f>
        <v>20.833333333333332</v>
      </c>
      <c r="F6">
        <v>10</v>
      </c>
      <c r="G6">
        <f>F6*E6</f>
        <v>208.33333333333331</v>
      </c>
      <c r="H6" s="46"/>
    </row>
    <row r="7" spans="2:8" x14ac:dyDescent="0.35">
      <c r="B7" s="45"/>
      <c r="C7">
        <v>1500</v>
      </c>
      <c r="D7">
        <v>1</v>
      </c>
      <c r="E7">
        <f>C7/(D7*60)</f>
        <v>25</v>
      </c>
      <c r="F7">
        <v>10</v>
      </c>
      <c r="G7">
        <f>F7*E7</f>
        <v>250</v>
      </c>
      <c r="H7" s="46"/>
    </row>
    <row r="8" spans="2:8" ht="15" thickBot="1" x14ac:dyDescent="0.4">
      <c r="B8" s="47"/>
      <c r="C8" s="34"/>
      <c r="D8" s="34"/>
      <c r="E8" s="34"/>
      <c r="F8" s="34"/>
      <c r="G8" s="34"/>
      <c r="H8" s="4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F3F65-2E6D-4A29-980B-440F9337DA00}">
  <dimension ref="A1"/>
  <sheetViews>
    <sheetView zoomScale="145" zoomScaleNormal="145" workbookViewId="0">
      <selection activeCell="L30" sqref="L30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A0219-D3DB-4026-8F8B-9BD774B7DD30}">
  <dimension ref="A1"/>
  <sheetViews>
    <sheetView topLeftCell="A181" zoomScaleNormal="100" workbookViewId="0">
      <selection activeCell="P197" sqref="P197"/>
    </sheetView>
  </sheetViews>
  <sheetFormatPr defaultRowHeight="14.5" x14ac:dyDescent="0.35"/>
  <cols>
    <col min="1" max="1" width="2.81640625" customWidth="1"/>
  </cols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Tracker</vt:lpstr>
      <vt:lpstr>Pass_Schd</vt:lpstr>
      <vt:lpstr>Induction_Wld</vt:lpstr>
      <vt:lpstr>Scheduling</vt:lpstr>
      <vt:lpstr>Machine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Prabhala, Srikanth</dc:creator>
  <cp:lastModifiedBy>Prabhala, Srikanth</cp:lastModifiedBy>
  <cp:lastPrinted>2026-04-13T16:45:05Z</cp:lastPrinted>
  <dcterms:created xsi:type="dcterms:W3CDTF">2024-10-22T16:41:44Z</dcterms:created>
  <dcterms:modified xsi:type="dcterms:W3CDTF">2026-04-17T19:00:30Z</dcterms:modified>
</cp:coreProperties>
</file>